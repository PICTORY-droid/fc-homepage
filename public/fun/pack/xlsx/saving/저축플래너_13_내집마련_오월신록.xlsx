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<sst xmlns="http://schemas.openxmlformats.org/spreadsheetml/2006/main" count="49" uniqueCount="48">
  <si>
    <t>내 집 마련 저축 플래너</t>
  </si>
  <si>
    <t>오월 신록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</si>
  <si>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</si>
  <si>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</si>
  <si>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</si>
  <si>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</si>
  <si>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</si>
  <si>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</si>
  <si>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</si>
  <si>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</si>
  <si>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</si>
  <si>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</si>
  <si>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우체국보험 상담 안내 · 자유롭게 고쳐 쓰세요</t>
  </si>
  <si>
    <t>입력 칸</t>
  </si>
  <si>
    <t>목표 이름</t>
  </si>
  <si>
    <t>내 집 마련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</si>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</sst>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143D21"/>
      <name val="맑은 고딕"/>
      <family val="2"/>
    </font>
    <font>
      <i/>
      <sz val="11"/>
      <color rgb="FF2B8245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43D21"/>
      <name val="맑은 고딕"/>
      <family val="2"/>
    </font>
    <font>
      <sz val="9"/>
      <color rgb="FF2B8245"/>
      <name val="맑은 고딕"/>
      <family val="2"/>
    </font>
    <font>
      <b/>
      <sz val="18"/>
      <color rgb="FF143D21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143D21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2B8245"/>
        <bgColor indexed="64"/>
      </patternFill>
    </fill>
    <fill>
      <patternFill patternType="solid">
        <fgColor rgb="FFD0F1DA"/>
        <bgColor indexed="64"/>
      </patternFill>
    </fill>
    <fill>
      <patternFill patternType="solid">
        <fgColor rgb="FFF0FAF3"/>
        <bgColor indexed="64"/>
      </patternFill>
    </fill>
  </fills>
  <borders count="4">
    <border>
      <left/>
      <right/>
      <top/>
      <bottom/>
      <diagonal/>
    </border>
    <border>
      <left style="thin">
        <color rgb="FFD0F1DA"/>
      </left>
      <right style="thin">
        <color rgb="FFD0F1DA"/>
      </right>
      <top style="thin">
        <color rgb="FFD0F1DA"/>
      </top>
      <bottom style="thin">
        <color rgb="FFD0F1DA"/>
      </bottom>
      <diagonal/>
    </border>
    <border>
      <left style="thin">
        <color rgb="FF143D21"/>
      </left>
      <right style="thin">
        <color rgb="FF143D21"/>
      </right>
      <top style="thin">
        <color rgb="FF143D21"/>
      </top>
      <bottom style="thin">
        <color rgb="FF143D21"/>
      </bottom>
      <diagonal/>
    </border>
    <border>
      <left style="thin">
        <color rgb="FF2B8245"/>
      </left>
      <right style="thin">
        <color rgb="FF2B8245"/>
      </right>
      <top style="thin">
        <color rgb="FF2B8245"/>
      </top>
      <bottom style="thin">
        <color rgb="FF2B8245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43D21"/>
                </a:solidFill>
                <a:latin typeface="맑은 고딕"/>
              </a:defRPr>
            </a:pPr>
            <a:r>
              <a:rPr lang="en-US" sz="1100" baseline="0">
                <a:solidFill>
                  <a:srgbClr val="143D21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계획 잔액</c:v>
          </c:tx>
          <c:spPr>
            <a:ln w="31750">
              <a:solidFill>
                <a:srgbClr val="2B8245"/>
              </a:solidFill>
            </a:ln>
          </c:spPr>
          <c:marker>
            <c:symbol val="none"/>
          </c:marke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'월별표'!$F$5:$F$64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원금</c:v>
          </c:tx>
          <c:spPr>
            <a:ln w="31750">
              <a:solidFill>
                <a:srgbClr val="803B91"/>
              </a:solidFill>
            </a:ln>
          </c:spPr>
          <c:marker>
            <c:symbol val="none"/>
          </c:marke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0F1DA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B8245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3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4" spans="2:3">
      <c r="B14" s="9" t="s">
        <v>12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B8245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/>
      <c r="C2" s="2"/>
      <c r="D2" s="2"/>
      <c r="E2" s="2"/>
      <c r="F2" s="2"/>
    </row>
    <row r="3" spans="2:6" x14ac:dyDescent="0.25">
      <c r="B3" s="11" t="s">
        <v>13</v>
      </c>
      <c r="C3" s="11"/>
      <c r="E3" s="11" t="s">
        <v>24</v>
      </c>
      <c r="F3" s="11"/>
    </row>
    <row r="4" spans="2:6" x14ac:dyDescent="0.25">
      <c r="B4" s="12" t="s">
        <v>14</v>
      </c>
      <c r="C4" s="13" t="s">
        <v>15</v>
      </c>
      <c r="E4" s="12" t="s">
        <v>25</v>
      </c>
      <c r="F4" s="14">
        <f>Monthly*Months</f>
        <v>0</v>
      </c>
    </row>
    <row r="5" spans="2:6" x14ac:dyDescent="0.25">
      <c r="B5" s="12" t="s">
        <v>16</v>
      </c>
      <c r="C5" s="15">
        <v>20800000</v>
      </c>
      <c r="E5" s="12" t="s">
        <v>26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17</v>
      </c>
      <c r="C6" s="16">
        <v>46023</v>
      </c>
      <c r="E6" s="12" t="s">
        <v>27</v>
      </c>
      <c r="F6" s="14">
        <f>F5*Tax</f>
        <v>0</v>
      </c>
    </row>
    <row r="7" spans="2:6" x14ac:dyDescent="0.25">
      <c r="B7" s="12" t="s">
        <v>18</v>
      </c>
      <c r="C7" s="15">
        <v>840000</v>
      </c>
      <c r="E7" s="12" t="s">
        <v>28</v>
      </c>
      <c r="F7" s="14">
        <f>F5-F6</f>
        <v>0</v>
      </c>
    </row>
    <row r="8" spans="2:6" x14ac:dyDescent="0.25">
      <c r="B8" s="12" t="s">
        <v>19</v>
      </c>
      <c r="C8" s="17">
        <v>0.04</v>
      </c>
      <c r="E8" s="12" t="s">
        <v>29</v>
      </c>
      <c r="F8" s="18">
        <f>F4+F7</f>
        <v>0</v>
      </c>
    </row>
    <row r="9" spans="2:6" x14ac:dyDescent="0.25">
      <c r="B9" s="12" t="s">
        <v>20</v>
      </c>
      <c r="C9" s="19">
        <v>24</v>
      </c>
      <c r="E9" s="12" t="s">
        <v>30</v>
      </c>
      <c r="F9" s="20">
        <f>EDATE(StartDate,Months)</f>
        <v>0</v>
      </c>
    </row>
    <row r="10" spans="2:6" x14ac:dyDescent="0.25">
      <c r="B10" s="12" t="s">
        <v>21</v>
      </c>
      <c r="C10" s="13" t="s">
        <v>22</v>
      </c>
      <c r="E10" s="12" t="s">
        <v>31</v>
      </c>
      <c r="F10" s="21">
        <f>IF(Goal=0,0,F8/Goal)</f>
        <v>0</v>
      </c>
    </row>
    <row r="11" spans="2:6" x14ac:dyDescent="0.25">
      <c r="B11" s="12" t="s">
        <v>23</v>
      </c>
      <c r="C11" s="17">
        <v>0.154</v>
      </c>
      <c r="E11" s="12" t="s">
        <v>32</v>
      </c>
      <c r="F11" s="14">
        <f>MAX(0,Goal-F8)</f>
        <v>0</v>
      </c>
    </row>
    <row r="12" spans="2:6" x14ac:dyDescent="0.25">
      <c r="E12" s="12" t="s">
        <v>33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35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2B8245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2B8245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3B91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36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37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38</v>
      </c>
      <c r="B4" s="11" t="s">
        <v>39</v>
      </c>
      <c r="C4" s="11" t="s">
        <v>40</v>
      </c>
      <c r="D4" s="11" t="s">
        <v>41</v>
      </c>
      <c r="E4" s="11" t="s">
        <v>42</v>
      </c>
      <c r="F4" s="11" t="s">
        <v>43</v>
      </c>
      <c r="G4" s="11" t="s">
        <v>44</v>
      </c>
      <c r="H4" s="11" t="s">
        <v>45</v>
      </c>
      <c r="I4" s="11" t="s">
        <v>46</v>
      </c>
      <c r="J4" s="11" t="s">
        <v>47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D0F1DA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D0F1DA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내 집 마련 저축 플래너</dc:title>
  <dc:creator>우체국보험 상담 안내</dc:creator>
  <dc:description>자유롭게 편집해서 사용하세요.</dc:description>
  <cp:lastModifiedBy>우체국보험 상담 안내</cp:lastModifiedBy>
  <dcterms:created xsi:type="dcterms:W3CDTF">2026-10-19T18:19:26Z</dcterms:created>
  <dcterms:modified xsi:type="dcterms:W3CDTF">2026-10-19T18:19:26Z</dcterms:modified>
</cp:coreProperties>
</file>