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계획" sheetId="2" r:id="rId2"/>
    <sheet name="월별표" sheetId="3" r:id="rId3"/>
  </sheets>
  <definedNames>
    <definedName name="Goal">'계획'!$C$5</definedName>
    <definedName name="Mode">'계획'!$C$10</definedName>
    <definedName name="Monthly">'계획'!$C$7</definedName>
    <definedName name="Months">'계획'!$C$9</definedName>
    <definedName name="_xlnm.Print_Titles" localSheetId="2">월별표!$4:$4</definedName>
    <definedName name="Rate">'계획'!$C$8</definedName>
    <definedName name="StartDate">'계획'!$C$6</definedName>
    <definedName name="Tax">'계획'!$C$11</definedName>
  </definedNames>
  <calcPr calcId="124519" fullCalcOnLoad="1"/>
</workbook>
</file>

<file path=xl/sharedStrings.xml><?xml version="1.0" encoding="utf-8"?>
<sst xmlns="http://schemas.openxmlformats.org/spreadsheetml/2006/main" count="51" uniqueCount="49">
  <si>
    <t>은퇴 후 생활 준비 저축 플래너</t>
  </si>
  <si>
    <t>“붉게 물든 약속을 우체통에 넣어요”</t>
  </si>
  <si>
    <t>단풍 든 우체통 테마</t>
  </si>
  <si>
    <t>사용 순서</t>
  </si>
  <si>
    <t>1</t>
  </si>
  <si>
    <t>‘계획’ 시트에서 목표 금액, 시작일, 월 납입액, 연 이율, 기간(개월)을 적어요. 파란 칸이 입력 칸이에요.</t>
  </si>
  <si>
    <t>2</t>
  </si>
  <si>
    <t>만기 수령액, 이자(세금 제외), 목표까지 부족한 금액, 목표를 이루려면 필요한 월 납입액이 자동으로 계산돼요.</t>
  </si>
  <si>
    <t>3</t>
  </si>
  <si>
    <t>‘월별표’에는 달마다 쌓이는 원금과 이자가 나와요. 실제로 넣은 금액을 ‘실제 납입’ 칸에 적으면 계획과 비교해 줘요.</t>
  </si>
  <si>
    <t>4</t>
  </si>
  <si>
    <t>이율·세금은 가입한 상품 안내문에 맞춰 고쳐 쓰세요. 단리/월복리는 상품 방식에 맞게 고르세요.</t>
  </si>
  <si>
    <t>이 표는 스스로 계획을 세우는 계산 도구이며 특정 상품의 수익을 보장하거나 권유하지 않아요. 실제 이자와 세금은 상품과 세법에 따라 달라질 수 있어요.</t>
  </si>
  <si>
    <t>우체국보험 상담 안내 · 자유롭게 고쳐 쓰세요</t>
  </si>
  <si>
    <t>입력 칸</t>
  </si>
  <si>
    <t>목표 이름</t>
  </si>
  <si>
    <t>은퇴 후 생활 준비</t>
  </si>
  <si>
    <t>목표 금액(원)</t>
  </si>
  <si>
    <t>시작일</t>
  </si>
  <si>
    <t>월 납입액(원)</t>
  </si>
  <si>
    <t>연 이율</t>
  </si>
  <si>
    <t>기간(개월, 최대 60)</t>
  </si>
  <si>
    <t>이자 계산</t>
  </si>
  <si>
    <t>단리</t>
  </si>
  <si>
    <t>이자 과세</t>
  </si>
  <si>
    <t>자동 계산 결과</t>
  </si>
  <si>
    <t>납입 원금 합계</t>
  </si>
  <si>
    <t>세전 이자</t>
  </si>
  <si>
    <t>세금</t>
  </si>
  <si>
    <t>세후 이자</t>
  </si>
  <si>
    <t>만기 수령액</t>
  </si>
  <si>
    <t>만기일</t>
  </si>
  <si>
    <t>목표 달성률</t>
  </si>
  <si>
    <t>목표까지 부족한 금액</t>
  </si>
  <si>
    <t>목표 달성에 필요한 월 납입액</t>
  </si>
  <si>
    <t>지금까지 실제 납입</t>
  </si>
  <si>
    <t>달성률 칸의 막대가 가득 차면 목표 금액을 이룬 거예요. 필요한 월 납입액이 지금 납입액보다 크면 기간을 늘리거나 목표를 조정해 보세요.</t>
  </si>
  <si>
    <t>월별표 (자동 계산) — ‘실제 납입’만 직접 적어요</t>
  </si>
  <si>
    <t>계획 기간이 끝난 뒤의 칸은 비어 있고, 차트에서는 만기 금액이 그대로 이어져요.</t>
  </si>
  <si>
    <t>회차</t>
  </si>
  <si>
    <t>납입월</t>
  </si>
  <si>
    <t>계획 납입</t>
  </si>
  <si>
    <t>누적 원금</t>
  </si>
  <si>
    <t>누적 이자(세전)</t>
  </si>
  <si>
    <t>계획 잔액</t>
  </si>
  <si>
    <t>실제 납입</t>
  </si>
  <si>
    <t>실제 누적</t>
  </si>
  <si>
    <t>계획 대비</t>
  </si>
  <si>
    <t>달성률</t>
  </si>
</sst>
</file>

<file path=xl/styles.xml><?xml version="1.0" encoding="utf-8"?>
<styleSheet xmlns="http://schemas.openxmlformats.org/spreadsheetml/2006/main">
  <numFmts count="6">
    <numFmt numFmtId="164" formatCode="#,##0"/>
    <numFmt numFmtId="165" formatCode="yyyy-mm-dd"/>
    <numFmt numFmtId="166" formatCode="0.0%"/>
    <numFmt numFmtId="167" formatCode="0&quot;개월&quot;"/>
    <numFmt numFmtId="168" formatCode="+#,##0;[Red]-#,##0;0"/>
    <numFmt numFmtId="169" formatCode="0%"/>
  </numFmts>
  <fonts count="13">
    <font>
      <sz val="11"/>
      <color theme="1"/>
      <name val="Calibri"/>
      <family val="2"/>
      <scheme val="minor"/>
    </font>
    <font>
      <b/>
      <sz val="22"/>
      <color rgb="FF5B2315"/>
      <name val="맑은 고딕"/>
      <family val="2"/>
    </font>
    <font>
      <i/>
      <sz val="11"/>
      <color rgb="FFAE4329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5B2315"/>
      <name val="맑은 고딕"/>
      <family val="2"/>
    </font>
    <font>
      <sz val="9"/>
      <color rgb="FFAE4329"/>
      <name val="맑은 고딕"/>
      <family val="2"/>
    </font>
    <font>
      <b/>
      <sz val="18"/>
      <color rgb="FF5B2315"/>
      <name val="맑은 고딕"/>
      <family val="2"/>
    </font>
    <font>
      <b/>
      <sz val="10"/>
      <color theme="1"/>
      <name val="맑은 고딕"/>
      <family val="2"/>
    </font>
    <font>
      <sz val="10"/>
      <color theme="1"/>
      <name val="맑은 고딕"/>
      <family val="2"/>
    </font>
    <font>
      <b/>
      <sz val="16"/>
      <color rgb="FF5B2315"/>
      <name val="맑은 고딕"/>
      <family val="2"/>
    </font>
    <font>
      <sz val="10"/>
      <color rgb="FF888888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AE4329"/>
        <bgColor indexed="64"/>
      </patternFill>
    </fill>
    <fill>
      <patternFill patternType="solid">
        <fgColor rgb="FFF5D4CC"/>
        <bgColor indexed="64"/>
      </patternFill>
    </fill>
    <fill>
      <patternFill patternType="solid">
        <fgColor rgb="FFFBF1EE"/>
        <bgColor indexed="64"/>
      </patternFill>
    </fill>
  </fills>
  <borders count="4">
    <border>
      <left/>
      <right/>
      <top/>
      <bottom/>
      <diagonal/>
    </border>
    <border>
      <left style="thin">
        <color rgb="FFF5D4CC"/>
      </left>
      <right style="thin">
        <color rgb="FFF5D4CC"/>
      </right>
      <top style="thin">
        <color rgb="FFF5D4CC"/>
      </top>
      <bottom style="thin">
        <color rgb="FFF5D4CC"/>
      </bottom>
      <diagonal/>
    </border>
    <border>
      <left style="thin">
        <color rgb="FF5B2315"/>
      </left>
      <right style="thin">
        <color rgb="FF5B2315"/>
      </right>
      <top style="thin">
        <color rgb="FF5B2315"/>
      </top>
      <bottom style="thin">
        <color rgb="FF5B2315"/>
      </bottom>
      <diagonal/>
    </border>
    <border>
      <left style="thin">
        <color rgb="FFAE4329"/>
      </left>
      <right style="thin">
        <color rgb="FFAE4329"/>
      </right>
      <top style="thin">
        <color rgb="FFAE4329"/>
      </top>
      <bottom style="thin">
        <color rgb="FFAE4329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164" fontId="10" fillId="0" borderId="1" xfId="0" applyNumberFormat="1" applyFont="1" applyBorder="1" applyAlignment="1">
      <alignment horizontal="right" vertical="center"/>
    </xf>
    <xf numFmtId="164" fontId="5" fillId="4" borderId="3" xfId="0" applyNumberFormat="1" applyFont="1" applyFill="1" applyBorder="1" applyAlignment="1">
      <alignment vertical="center"/>
    </xf>
    <xf numFmtId="165" fontId="5" fillId="4" borderId="3" xfId="0" applyNumberFormat="1" applyFont="1" applyFill="1" applyBorder="1" applyAlignment="1">
      <alignment horizontal="center" vertical="center"/>
    </xf>
    <xf numFmtId="166" fontId="5" fillId="4" borderId="3" xfId="0" applyNumberFormat="1" applyFont="1" applyFill="1" applyBorder="1" applyAlignment="1">
      <alignment vertical="center"/>
    </xf>
    <xf numFmtId="164" fontId="9" fillId="0" borderId="1" xfId="0" applyNumberFormat="1" applyFont="1" applyBorder="1" applyAlignment="1">
      <alignment horizontal="right" vertical="center"/>
    </xf>
    <xf numFmtId="167" fontId="5" fillId="4" borderId="3" xfId="0" applyNumberFormat="1" applyFont="1" applyFill="1" applyBorder="1" applyAlignment="1">
      <alignment horizontal="center" vertical="center"/>
    </xf>
    <xf numFmtId="165" fontId="10" fillId="0" borderId="1" xfId="0" applyNumberFormat="1" applyFont="1" applyBorder="1" applyAlignment="1">
      <alignment horizontal="right" vertical="center"/>
    </xf>
    <xf numFmtId="166" fontId="9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vertical="center"/>
    </xf>
    <xf numFmtId="0" fontId="12" fillId="0" borderId="1" xfId="0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vertical="center"/>
    </xf>
    <xf numFmtId="164" fontId="9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vertical="center"/>
    </xf>
    <xf numFmtId="169" fontId="5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BBBBBB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5B2315"/>
                </a:solidFill>
                <a:latin typeface="맑은 고딕"/>
              </a:defRPr>
            </a:pPr>
            <a:r>
              <a:rPr lang="en-US" sz="1100" baseline="0">
                <a:solidFill>
                  <a:srgbClr val="5B2315"/>
                </a:solidFill>
                <a:latin typeface="맑은 고딕"/>
              </a:rPr>
              <a:t>원금과 이자가 쌓이는 모습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계획 잔액</c:v>
          </c:tx>
          <c:spPr>
            <a:ln w="31750">
              <a:solidFill>
                <a:srgbClr val="AE4329"/>
              </a:solidFill>
            </a:ln>
          </c:spPr>
          <c:marker>
            <c:symbol val="none"/>
          </c:marker>
          <c:cat>
            <c:numRef>
              <c:f>'월별표'!$A$5:$A$64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'월별표'!$F$5:$F$64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</c:ser>
        <c:ser>
          <c:idx val="1"/>
          <c:order val="1"/>
          <c:tx>
            <c:v>누적 원금</c:v>
          </c:tx>
          <c:spPr>
            <a:ln w="31750">
              <a:solidFill>
                <a:srgbClr val="3B9177"/>
              </a:solidFill>
            </a:ln>
          </c:spPr>
          <c:marker>
            <c:symbol val="none"/>
          </c:marker>
          <c:cat>
            <c:numRef>
              <c:f>'월별표'!$A$5:$A$64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'월별표'!$D$5:$D$64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>
                    <a:latin typeface="맑은 고딕"/>
                  </a:defRPr>
                </a:pPr>
                <a:r>
                  <a:rPr lang="en-US" sz="900" baseline="0">
                    <a:latin typeface="맑은 고딕"/>
                  </a:rPr>
                  <a:t>회차(개월)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  <c:tickLblSkip val="6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5D4CC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6</xdr:col>
      <xdr:colOff>190500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AE4329"/>
    <pageSetUpPr fitToPage="1"/>
  </sheetPr>
  <dimension ref="A2:C14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3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32" customHeight="1">
      <c r="B10" s="6" t="s">
        <v>10</v>
      </c>
      <c r="C10" s="7" t="s">
        <v>11</v>
      </c>
    </row>
    <row r="12" spans="2:3" ht="28" customHeight="1">
      <c r="B12" s="8" t="s">
        <v>12</v>
      </c>
      <c r="C12" s="8"/>
    </row>
    <row r="14" spans="2:3">
      <c r="B14" s="9" t="s">
        <v>13</v>
      </c>
      <c r="C14" s="9"/>
    </row>
  </sheetData>
  <mergeCells count="5">
    <mergeCell ref="B2:C2"/>
    <mergeCell ref="B3:C3"/>
    <mergeCell ref="B4:C4"/>
    <mergeCell ref="B12:C12"/>
    <mergeCell ref="B14:C14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AE4329"/>
    <pageSetUpPr fitToPage="1"/>
  </sheetPr>
  <dimension ref="B1:F15"/>
  <sheetViews>
    <sheetView showGridLines="0" workbookViewId="0"/>
  </sheetViews>
  <sheetFormatPr defaultRowHeight="15" x14ac:dyDescent="0.25"/>
  <cols>
    <col min="1" max="1" width="3.7109375" customWidth="1"/>
    <col min="2" max="2" width="22.7109375" customWidth="1"/>
    <col min="3" max="3" width="18.7109375" customWidth="1"/>
    <col min="4" max="4" width="3.7109375" customWidth="1"/>
    <col min="5" max="5" width="24.7109375" customWidth="1"/>
    <col min="6" max="6" width="18.7109375" customWidth="1"/>
  </cols>
  <sheetData>
    <row r="1" spans="2:6" x14ac:dyDescent="0.25">
      <c r="B1" s="10" t="s">
        <v>0</v>
      </c>
      <c r="C1" s="10"/>
      <c r="D1" s="10"/>
      <c r="E1" s="10"/>
      <c r="F1" s="10"/>
    </row>
    <row r="2" spans="2:6" x14ac:dyDescent="0.25">
      <c r="B2" s="2" t="s">
        <v>1</v>
      </c>
      <c r="C2" s="2"/>
      <c r="D2" s="2"/>
      <c r="E2" s="2"/>
      <c r="F2" s="2"/>
    </row>
    <row r="3" spans="2:6" x14ac:dyDescent="0.25">
      <c r="B3" s="11" t="s">
        <v>14</v>
      </c>
      <c r="C3" s="11"/>
      <c r="E3" s="11" t="s">
        <v>25</v>
      </c>
      <c r="F3" s="11"/>
    </row>
    <row r="4" spans="2:6" x14ac:dyDescent="0.25">
      <c r="B4" s="12" t="s">
        <v>15</v>
      </c>
      <c r="C4" s="13" t="s">
        <v>16</v>
      </c>
      <c r="E4" s="12" t="s">
        <v>26</v>
      </c>
      <c r="F4" s="14">
        <f>Monthly*Months</f>
        <v>0</v>
      </c>
    </row>
    <row r="5" spans="2:6" x14ac:dyDescent="0.25">
      <c r="B5" s="12" t="s">
        <v>17</v>
      </c>
      <c r="C5" s="15">
        <v>40200000</v>
      </c>
      <c r="E5" s="12" t="s">
        <v>27</v>
      </c>
      <c r="F5" s="14">
        <f>IF(Mode="단리",Monthly*(Rate/12)*Months*(Months+1)/2,FV(Rate/12,Months,-Monthly,0,1)-Monthly*Months)</f>
        <v>0</v>
      </c>
    </row>
    <row r="6" spans="2:6" x14ac:dyDescent="0.25">
      <c r="B6" s="12" t="s">
        <v>18</v>
      </c>
      <c r="C6" s="16">
        <v>46023</v>
      </c>
      <c r="E6" s="12" t="s">
        <v>28</v>
      </c>
      <c r="F6" s="14">
        <f>F5*Tax</f>
        <v>0</v>
      </c>
    </row>
    <row r="7" spans="2:6" x14ac:dyDescent="0.25">
      <c r="B7" s="12" t="s">
        <v>19</v>
      </c>
      <c r="C7" s="15">
        <v>650000</v>
      </c>
      <c r="E7" s="12" t="s">
        <v>29</v>
      </c>
      <c r="F7" s="14">
        <f>F5-F6</f>
        <v>0</v>
      </c>
    </row>
    <row r="8" spans="2:6" x14ac:dyDescent="0.25">
      <c r="B8" s="12" t="s">
        <v>20</v>
      </c>
      <c r="C8" s="17">
        <v>0.036</v>
      </c>
      <c r="E8" s="12" t="s">
        <v>30</v>
      </c>
      <c r="F8" s="18">
        <f>F4+F7</f>
        <v>0</v>
      </c>
    </row>
    <row r="9" spans="2:6" x14ac:dyDescent="0.25">
      <c r="B9" s="12" t="s">
        <v>21</v>
      </c>
      <c r="C9" s="19">
        <v>60</v>
      </c>
      <c r="E9" s="12" t="s">
        <v>31</v>
      </c>
      <c r="F9" s="20">
        <f>EDATE(StartDate,Months)</f>
        <v>0</v>
      </c>
    </row>
    <row r="10" spans="2:6" x14ac:dyDescent="0.25">
      <c r="B10" s="12" t="s">
        <v>22</v>
      </c>
      <c r="C10" s="13" t="s">
        <v>23</v>
      </c>
      <c r="E10" s="12" t="s">
        <v>32</v>
      </c>
      <c r="F10" s="21">
        <f>IF(Goal=0,0,F8/Goal)</f>
        <v>0</v>
      </c>
    </row>
    <row r="11" spans="2:6" x14ac:dyDescent="0.25">
      <c r="B11" s="12" t="s">
        <v>24</v>
      </c>
      <c r="C11" s="17">
        <v>0.154</v>
      </c>
      <c r="E11" s="12" t="s">
        <v>33</v>
      </c>
      <c r="F11" s="14">
        <f>MAX(0,Goal-F8)</f>
        <v>0</v>
      </c>
    </row>
    <row r="12" spans="2:6" x14ac:dyDescent="0.25">
      <c r="E12" s="12" t="s">
        <v>34</v>
      </c>
      <c r="F12" s="14">
        <f>IF(Mode="단리",Goal/(Months+(Rate/12)*(1-Tax)*Months*(Months+1)/2),IF(Rate=0,Goal/Months,Goal/(Months+(FV(Rate/12,Months,-1,0,1)-Months)*(1-Tax))))</f>
        <v>0</v>
      </c>
    </row>
    <row r="13" spans="2:6" x14ac:dyDescent="0.25">
      <c r="B13" s="8" t="s">
        <v>36</v>
      </c>
      <c r="C13" s="8"/>
      <c r="D13" s="8"/>
      <c r="E13" s="8"/>
      <c r="F13" s="8"/>
    </row>
    <row r="14" spans="2:6" x14ac:dyDescent="0.25">
      <c r="B14" s="8"/>
      <c r="C14" s="8"/>
      <c r="D14" s="8"/>
      <c r="E14" s="8"/>
      <c r="F14" s="8"/>
    </row>
    <row r="15" spans="2:6" x14ac:dyDescent="0.25">
      <c r="B15" s="8"/>
      <c r="C15" s="8"/>
      <c r="D15" s="8"/>
      <c r="E15" s="8"/>
      <c r="F15" s="8"/>
    </row>
  </sheetData>
  <mergeCells count="5">
    <mergeCell ref="B1:F1"/>
    <mergeCell ref="B2:F2"/>
    <mergeCell ref="B3:C3"/>
    <mergeCell ref="E3:F3"/>
    <mergeCell ref="B13:F15"/>
  </mergeCells>
  <conditionalFormatting sqref="F10">
    <cfRule type="dataBar" priority="1">
      <dataBar>
        <cfvo type="num" val="0"/>
        <cfvo type="num" val="1"/>
        <color rgb="FFAE4329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</conditionalFormatting>
  <dataValidations count="7">
    <dataValidation type="decimal" operator="greaterThan" allowBlank="1" showInputMessage="1" showErrorMessage="1" error="0보다 큰 금액을 입력해 주세요." sqref="C5">
      <formula1>0</formula1>
    </dataValidation>
    <dataValidation type="date" operator="greaterThanOrEqual" allowBlank="1" showInputMessage="1" showErrorMessage="1" error="날짜 형식으로 입력해 주세요." sqref="C6">
      <formula1>36526</formula1>
    </dataValidation>
    <dataValidation type="decimal" operator="greaterThanOrEqual" allowBlank="1" showInputMessage="1" showErrorMessage="1" error="0 이상의 금액을 입력해 주세요." sqref="C7">
      <formula1>0</formula1>
    </dataValidation>
    <dataValidation type="decimal" allowBlank="1" showInputMessage="1" showErrorMessage="1" error="연 이율은 0%~30% 사이로 입력해 주세요. (예: 3.5%)" sqref="C8">
      <formula1>0</formula1>
      <formula2>0.3</formula2>
    </dataValidation>
    <dataValidation type="whole" allowBlank="1" showInputMessage="1" showErrorMessage="1" error="기간은 1~60개월 사이로 입력해 주세요." sqref="C9">
      <formula1>1</formula1>
      <formula2>60</formula2>
    </dataValidation>
    <dataValidation type="list" allowBlank="1" showInputMessage="1" showErrorMessage="1" sqref="C10">
      <formula1>"단리,월복리"</formula1>
    </dataValidation>
    <dataValidation type="decimal" allowBlank="1" showInputMessage="1" showErrorMessage="1" error="비과세면 0%, 일반과세는 15.4%예요." sqref="C11">
      <formula1>0</formula1>
      <formula2>0.5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AE4329"/>
              <x14:negativeFillColor rgb="FFFF0000"/>
              <x14:negativeBorderColor rgb="FFFF0000"/>
              <x14:axisColor rgb="FF000000"/>
            </x14:dataBar>
          </x14:cfRule>
          <xm:sqref>F10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B9177"/>
    <pageSetUpPr fitToPage="1"/>
  </sheetPr>
  <dimension ref="A1:J64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 x14ac:dyDescent="0.25"/>
  <cols>
    <col min="1" max="1" width="7.7109375" customWidth="1"/>
    <col min="2" max="2" width="12.7109375" customWidth="1"/>
    <col min="3" max="5" width="14.7109375" customWidth="1"/>
    <col min="6" max="6" width="15.7109375" customWidth="1"/>
    <col min="7" max="9" width="14.7109375" customWidth="1"/>
    <col min="10" max="10" width="11.7109375" customWidth="1"/>
  </cols>
  <sheetData>
    <row r="1" spans="1:10" x14ac:dyDescent="0.25">
      <c r="A1" s="22" t="s">
        <v>37</v>
      </c>
      <c r="B1" s="22"/>
      <c r="C1" s="22"/>
      <c r="D1" s="22"/>
      <c r="E1" s="22"/>
      <c r="F1" s="22"/>
      <c r="G1" s="22"/>
      <c r="H1" s="22"/>
      <c r="I1" s="22"/>
      <c r="J1" s="22"/>
    </row>
    <row r="2" spans="1:10" x14ac:dyDescent="0.25">
      <c r="A2" s="8" t="s">
        <v>38</v>
      </c>
      <c r="B2" s="8"/>
      <c r="C2" s="8"/>
      <c r="D2" s="8"/>
      <c r="E2" s="8"/>
      <c r="F2" s="8"/>
      <c r="G2" s="8"/>
      <c r="H2" s="8"/>
      <c r="I2" s="8"/>
      <c r="J2" s="8"/>
    </row>
    <row r="4" spans="1:10" x14ac:dyDescent="0.25">
      <c r="A4" s="11" t="s">
        <v>39</v>
      </c>
      <c r="B4" s="11" t="s">
        <v>40</v>
      </c>
      <c r="C4" s="11" t="s">
        <v>41</v>
      </c>
      <c r="D4" s="11" t="s">
        <v>42</v>
      </c>
      <c r="E4" s="11" t="s">
        <v>43</v>
      </c>
      <c r="F4" s="11" t="s">
        <v>44</v>
      </c>
      <c r="G4" s="11" t="s">
        <v>45</v>
      </c>
      <c r="H4" s="11" t="s">
        <v>46</v>
      </c>
      <c r="I4" s="11" t="s">
        <v>47</v>
      </c>
      <c r="J4" s="11" t="s">
        <v>48</v>
      </c>
    </row>
    <row r="5" spans="1:10" x14ac:dyDescent="0.25">
      <c r="A5" s="23">
        <v>1</v>
      </c>
      <c r="B5" s="24">
        <f>IF(A5&gt;Months,"",EDATE(StartDate,A5-1))</f>
        <v>0</v>
      </c>
      <c r="C5" s="25">
        <f>IF(A5&gt;Months,"",Monthly)</f>
        <v>0</v>
      </c>
      <c r="D5" s="25">
        <f>Monthly*MIN(A5,Months)</f>
        <v>0</v>
      </c>
      <c r="E5" s="25">
        <f>IF(Mode="단리",Monthly*(Rate/12)*MIN(A5,Months)*(MIN(A5,Months)+1)/2,FV(Rate/12,MIN(A5,Months),-Monthly,0,1)-Monthly*MIN(A5,Months))</f>
        <v>0</v>
      </c>
      <c r="F5" s="26">
        <f>D5+E5</f>
        <v>0</v>
      </c>
      <c r="G5" s="15"/>
      <c r="H5" s="25">
        <f>IF(G5="","",SUM(G$5:G5))</f>
        <v>0</v>
      </c>
      <c r="I5" s="27">
        <f>IF(H5="","",H5-D5)</f>
        <v>0</v>
      </c>
      <c r="J5" s="28">
        <f>IF(Goal=0,"",F5/Goal)</f>
        <v>0</v>
      </c>
    </row>
    <row r="6" spans="1:10" x14ac:dyDescent="0.25">
      <c r="A6" s="23">
        <v>2</v>
      </c>
      <c r="B6" s="24">
        <f>IF(A6&gt;Months,"",EDATE(StartDate,A6-1))</f>
        <v>0</v>
      </c>
      <c r="C6" s="25">
        <f>IF(A6&gt;Months,"",Monthly)</f>
        <v>0</v>
      </c>
      <c r="D6" s="25">
        <f>Monthly*MIN(A6,Months)</f>
        <v>0</v>
      </c>
      <c r="E6" s="25">
        <f>IF(Mode="단리",Monthly*(Rate/12)*MIN(A6,Months)*(MIN(A6,Months)+1)/2,FV(Rate/12,MIN(A6,Months),-Monthly,0,1)-Monthly*MIN(A6,Months))</f>
        <v>0</v>
      </c>
      <c r="F6" s="26">
        <f>D6+E6</f>
        <v>0</v>
      </c>
      <c r="G6" s="15"/>
      <c r="H6" s="25">
        <f>IF(G6="","",SUM(G$5:G6))</f>
        <v>0</v>
      </c>
      <c r="I6" s="27">
        <f>IF(H6="","",H6-D6)</f>
        <v>0</v>
      </c>
      <c r="J6" s="28">
        <f>IF(Goal=0,"",F6/Goal)</f>
        <v>0</v>
      </c>
    </row>
    <row r="7" spans="1:10" x14ac:dyDescent="0.25">
      <c r="A7" s="23">
        <v>3</v>
      </c>
      <c r="B7" s="24">
        <f>IF(A7&gt;Months,"",EDATE(StartDate,A7-1))</f>
        <v>0</v>
      </c>
      <c r="C7" s="25">
        <f>IF(A7&gt;Months,"",Monthly)</f>
        <v>0</v>
      </c>
      <c r="D7" s="25">
        <f>Monthly*MIN(A7,Months)</f>
        <v>0</v>
      </c>
      <c r="E7" s="25">
        <f>IF(Mode="단리",Monthly*(Rate/12)*MIN(A7,Months)*(MIN(A7,Months)+1)/2,FV(Rate/12,MIN(A7,Months),-Monthly,0,1)-Monthly*MIN(A7,Months))</f>
        <v>0</v>
      </c>
      <c r="F7" s="26">
        <f>D7+E7</f>
        <v>0</v>
      </c>
      <c r="G7" s="15"/>
      <c r="H7" s="25">
        <f>IF(G7="","",SUM(G$5:G7))</f>
        <v>0</v>
      </c>
      <c r="I7" s="27">
        <f>IF(H7="","",H7-D7)</f>
        <v>0</v>
      </c>
      <c r="J7" s="28">
        <f>IF(Goal=0,"",F7/Goal)</f>
        <v>0</v>
      </c>
    </row>
    <row r="8" spans="1:10" x14ac:dyDescent="0.25">
      <c r="A8" s="23">
        <v>4</v>
      </c>
      <c r="B8" s="24">
        <f>IF(A8&gt;Months,"",EDATE(StartDate,A8-1))</f>
        <v>0</v>
      </c>
      <c r="C8" s="25">
        <f>IF(A8&gt;Months,"",Monthly)</f>
        <v>0</v>
      </c>
      <c r="D8" s="25">
        <f>Monthly*MIN(A8,Months)</f>
        <v>0</v>
      </c>
      <c r="E8" s="25">
        <f>IF(Mode="단리",Monthly*(Rate/12)*MIN(A8,Months)*(MIN(A8,Months)+1)/2,FV(Rate/12,MIN(A8,Months),-Monthly,0,1)-Monthly*MIN(A8,Months))</f>
        <v>0</v>
      </c>
      <c r="F8" s="26">
        <f>D8+E8</f>
        <v>0</v>
      </c>
      <c r="G8" s="15"/>
      <c r="H8" s="25">
        <f>IF(G8="","",SUM(G$5:G8))</f>
        <v>0</v>
      </c>
      <c r="I8" s="27">
        <f>IF(H8="","",H8-D8)</f>
        <v>0</v>
      </c>
      <c r="J8" s="28">
        <f>IF(Goal=0,"",F8/Goal)</f>
        <v>0</v>
      </c>
    </row>
    <row r="9" spans="1:10" x14ac:dyDescent="0.25">
      <c r="A9" s="23">
        <v>5</v>
      </c>
      <c r="B9" s="24">
        <f>IF(A9&gt;Months,"",EDATE(StartDate,A9-1))</f>
        <v>0</v>
      </c>
      <c r="C9" s="25">
        <f>IF(A9&gt;Months,"",Monthly)</f>
        <v>0</v>
      </c>
      <c r="D9" s="25">
        <f>Monthly*MIN(A9,Months)</f>
        <v>0</v>
      </c>
      <c r="E9" s="25">
        <f>IF(Mode="단리",Monthly*(Rate/12)*MIN(A9,Months)*(MIN(A9,Months)+1)/2,FV(Rate/12,MIN(A9,Months),-Monthly,0,1)-Monthly*MIN(A9,Months))</f>
        <v>0</v>
      </c>
      <c r="F9" s="26">
        <f>D9+E9</f>
        <v>0</v>
      </c>
      <c r="G9" s="15"/>
      <c r="H9" s="25">
        <f>IF(G9="","",SUM(G$5:G9))</f>
        <v>0</v>
      </c>
      <c r="I9" s="27">
        <f>IF(H9="","",H9-D9)</f>
        <v>0</v>
      </c>
      <c r="J9" s="28">
        <f>IF(Goal=0,"",F9/Goal)</f>
        <v>0</v>
      </c>
    </row>
    <row r="10" spans="1:10" x14ac:dyDescent="0.25">
      <c r="A10" s="23">
        <v>6</v>
      </c>
      <c r="B10" s="24">
        <f>IF(A10&gt;Months,"",EDATE(StartDate,A10-1))</f>
        <v>0</v>
      </c>
      <c r="C10" s="25">
        <f>IF(A10&gt;Months,"",Monthly)</f>
        <v>0</v>
      </c>
      <c r="D10" s="25">
        <f>Monthly*MIN(A10,Months)</f>
        <v>0</v>
      </c>
      <c r="E10" s="25">
        <f>IF(Mode="단리",Monthly*(Rate/12)*MIN(A10,Months)*(MIN(A10,Months)+1)/2,FV(Rate/12,MIN(A10,Months),-Monthly,0,1)-Monthly*MIN(A10,Months))</f>
        <v>0</v>
      </c>
      <c r="F10" s="26">
        <f>D10+E10</f>
        <v>0</v>
      </c>
      <c r="G10" s="15"/>
      <c r="H10" s="25">
        <f>IF(G10="","",SUM(G$5:G10))</f>
        <v>0</v>
      </c>
      <c r="I10" s="27">
        <f>IF(H10="","",H10-D10)</f>
        <v>0</v>
      </c>
      <c r="J10" s="28">
        <f>IF(Goal=0,"",F10/Goal)</f>
        <v>0</v>
      </c>
    </row>
    <row r="11" spans="1:10" x14ac:dyDescent="0.25">
      <c r="A11" s="23">
        <v>7</v>
      </c>
      <c r="B11" s="24">
        <f>IF(A11&gt;Months,"",EDATE(StartDate,A11-1))</f>
        <v>0</v>
      </c>
      <c r="C11" s="25">
        <f>IF(A11&gt;Months,"",Monthly)</f>
        <v>0</v>
      </c>
      <c r="D11" s="25">
        <f>Monthly*MIN(A11,Months)</f>
        <v>0</v>
      </c>
      <c r="E11" s="25">
        <f>IF(Mode="단리",Monthly*(Rate/12)*MIN(A11,Months)*(MIN(A11,Months)+1)/2,FV(Rate/12,MIN(A11,Months),-Monthly,0,1)-Monthly*MIN(A11,Months))</f>
        <v>0</v>
      </c>
      <c r="F11" s="26">
        <f>D11+E11</f>
        <v>0</v>
      </c>
      <c r="G11" s="15"/>
      <c r="H11" s="25">
        <f>IF(G11="","",SUM(G$5:G11))</f>
        <v>0</v>
      </c>
      <c r="I11" s="27">
        <f>IF(H11="","",H11-D11)</f>
        <v>0</v>
      </c>
      <c r="J11" s="28">
        <f>IF(Goal=0,"",F11/Goal)</f>
        <v>0</v>
      </c>
    </row>
    <row r="12" spans="1:10" x14ac:dyDescent="0.25">
      <c r="A12" s="23">
        <v>8</v>
      </c>
      <c r="B12" s="24">
        <f>IF(A12&gt;Months,"",EDATE(StartDate,A12-1))</f>
        <v>0</v>
      </c>
      <c r="C12" s="25">
        <f>IF(A12&gt;Months,"",Monthly)</f>
        <v>0</v>
      </c>
      <c r="D12" s="25">
        <f>Monthly*MIN(A12,Months)</f>
        <v>0</v>
      </c>
      <c r="E12" s="25">
        <f>IF(Mode="단리",Monthly*(Rate/12)*MIN(A12,Months)*(MIN(A12,Months)+1)/2,FV(Rate/12,MIN(A12,Months),-Monthly,0,1)-Monthly*MIN(A12,Months))</f>
        <v>0</v>
      </c>
      <c r="F12" s="26">
        <f>D12+E12</f>
        <v>0</v>
      </c>
      <c r="G12" s="15"/>
      <c r="H12" s="25">
        <f>IF(G12="","",SUM(G$5:G12))</f>
        <v>0</v>
      </c>
      <c r="I12" s="27">
        <f>IF(H12="","",H12-D12)</f>
        <v>0</v>
      </c>
      <c r="J12" s="28">
        <f>IF(Goal=0,"",F12/Goal)</f>
        <v>0</v>
      </c>
    </row>
    <row r="13" spans="1:10" x14ac:dyDescent="0.25">
      <c r="A13" s="23">
        <v>9</v>
      </c>
      <c r="B13" s="24">
        <f>IF(A13&gt;Months,"",EDATE(StartDate,A13-1))</f>
        <v>0</v>
      </c>
      <c r="C13" s="25">
        <f>IF(A13&gt;Months,"",Monthly)</f>
        <v>0</v>
      </c>
      <c r="D13" s="25">
        <f>Monthly*MIN(A13,Months)</f>
        <v>0</v>
      </c>
      <c r="E13" s="25">
        <f>IF(Mode="단리",Monthly*(Rate/12)*MIN(A13,Months)*(MIN(A13,Months)+1)/2,FV(Rate/12,MIN(A13,Months),-Monthly,0,1)-Monthly*MIN(A13,Months))</f>
        <v>0</v>
      </c>
      <c r="F13" s="26">
        <f>D13+E13</f>
        <v>0</v>
      </c>
      <c r="G13" s="15"/>
      <c r="H13" s="25">
        <f>IF(G13="","",SUM(G$5:G13))</f>
        <v>0</v>
      </c>
      <c r="I13" s="27">
        <f>IF(H13="","",H13-D13)</f>
        <v>0</v>
      </c>
      <c r="J13" s="28">
        <f>IF(Goal=0,"",F13/Goal)</f>
        <v>0</v>
      </c>
    </row>
    <row r="14" spans="1:10" x14ac:dyDescent="0.25">
      <c r="A14" s="23">
        <v>10</v>
      </c>
      <c r="B14" s="24">
        <f>IF(A14&gt;Months,"",EDATE(StartDate,A14-1))</f>
        <v>0</v>
      </c>
      <c r="C14" s="25">
        <f>IF(A14&gt;Months,"",Monthly)</f>
        <v>0</v>
      </c>
      <c r="D14" s="25">
        <f>Monthly*MIN(A14,Months)</f>
        <v>0</v>
      </c>
      <c r="E14" s="25">
        <f>IF(Mode="단리",Monthly*(Rate/12)*MIN(A14,Months)*(MIN(A14,Months)+1)/2,FV(Rate/12,MIN(A14,Months),-Monthly,0,1)-Monthly*MIN(A14,Months))</f>
        <v>0</v>
      </c>
      <c r="F14" s="26">
        <f>D14+E14</f>
        <v>0</v>
      </c>
      <c r="G14" s="15"/>
      <c r="H14" s="25">
        <f>IF(G14="","",SUM(G$5:G14))</f>
        <v>0</v>
      </c>
      <c r="I14" s="27">
        <f>IF(H14="","",H14-D14)</f>
        <v>0</v>
      </c>
      <c r="J14" s="28">
        <f>IF(Goal=0,"",F14/Goal)</f>
        <v>0</v>
      </c>
    </row>
    <row r="15" spans="1:10" x14ac:dyDescent="0.25">
      <c r="A15" s="23">
        <v>11</v>
      </c>
      <c r="B15" s="24">
        <f>IF(A15&gt;Months,"",EDATE(StartDate,A15-1))</f>
        <v>0</v>
      </c>
      <c r="C15" s="25">
        <f>IF(A15&gt;Months,"",Monthly)</f>
        <v>0</v>
      </c>
      <c r="D15" s="25">
        <f>Monthly*MIN(A15,Months)</f>
        <v>0</v>
      </c>
      <c r="E15" s="25">
        <f>IF(Mode="단리",Monthly*(Rate/12)*MIN(A15,Months)*(MIN(A15,Months)+1)/2,FV(Rate/12,MIN(A15,Months),-Monthly,0,1)-Monthly*MIN(A15,Months))</f>
        <v>0</v>
      </c>
      <c r="F15" s="26">
        <f>D15+E15</f>
        <v>0</v>
      </c>
      <c r="G15" s="15"/>
      <c r="H15" s="25">
        <f>IF(G15="","",SUM(G$5:G15))</f>
        <v>0</v>
      </c>
      <c r="I15" s="27">
        <f>IF(H15="","",H15-D15)</f>
        <v>0</v>
      </c>
      <c r="J15" s="28">
        <f>IF(Goal=0,"",F15/Goal)</f>
        <v>0</v>
      </c>
    </row>
    <row r="16" spans="1:10" x14ac:dyDescent="0.25">
      <c r="A16" s="23">
        <v>12</v>
      </c>
      <c r="B16" s="24">
        <f>IF(A16&gt;Months,"",EDATE(StartDate,A16-1))</f>
        <v>0</v>
      </c>
      <c r="C16" s="25">
        <f>IF(A16&gt;Months,"",Monthly)</f>
        <v>0</v>
      </c>
      <c r="D16" s="25">
        <f>Monthly*MIN(A16,Months)</f>
        <v>0</v>
      </c>
      <c r="E16" s="25">
        <f>IF(Mode="단리",Monthly*(Rate/12)*MIN(A16,Months)*(MIN(A16,Months)+1)/2,FV(Rate/12,MIN(A16,Months),-Monthly,0,1)-Monthly*MIN(A16,Months))</f>
        <v>0</v>
      </c>
      <c r="F16" s="26">
        <f>D16+E16</f>
        <v>0</v>
      </c>
      <c r="G16" s="15"/>
      <c r="H16" s="25">
        <f>IF(G16="","",SUM(G$5:G16))</f>
        <v>0</v>
      </c>
      <c r="I16" s="27">
        <f>IF(H16="","",H16-D16)</f>
        <v>0</v>
      </c>
      <c r="J16" s="28">
        <f>IF(Goal=0,"",F16/Goal)</f>
        <v>0</v>
      </c>
    </row>
    <row r="17" spans="1:10" x14ac:dyDescent="0.25">
      <c r="A17" s="23">
        <v>13</v>
      </c>
      <c r="B17" s="24">
        <f>IF(A17&gt;Months,"",EDATE(StartDate,A17-1))</f>
        <v>0</v>
      </c>
      <c r="C17" s="25">
        <f>IF(A17&gt;Months,"",Monthly)</f>
        <v>0</v>
      </c>
      <c r="D17" s="25">
        <f>Monthly*MIN(A17,Months)</f>
        <v>0</v>
      </c>
      <c r="E17" s="25">
        <f>IF(Mode="단리",Monthly*(Rate/12)*MIN(A17,Months)*(MIN(A17,Months)+1)/2,FV(Rate/12,MIN(A17,Months),-Monthly,0,1)-Monthly*MIN(A17,Months))</f>
        <v>0</v>
      </c>
      <c r="F17" s="26">
        <f>D17+E17</f>
        <v>0</v>
      </c>
      <c r="G17" s="15"/>
      <c r="H17" s="25">
        <f>IF(G17="","",SUM(G$5:G17))</f>
        <v>0</v>
      </c>
      <c r="I17" s="27">
        <f>IF(H17="","",H17-D17)</f>
        <v>0</v>
      </c>
      <c r="J17" s="28">
        <f>IF(Goal=0,"",F17/Goal)</f>
        <v>0</v>
      </c>
    </row>
    <row r="18" spans="1:10" x14ac:dyDescent="0.25">
      <c r="A18" s="23">
        <v>14</v>
      </c>
      <c r="B18" s="24">
        <f>IF(A18&gt;Months,"",EDATE(StartDate,A18-1))</f>
        <v>0</v>
      </c>
      <c r="C18" s="25">
        <f>IF(A18&gt;Months,"",Monthly)</f>
        <v>0</v>
      </c>
      <c r="D18" s="25">
        <f>Monthly*MIN(A18,Months)</f>
        <v>0</v>
      </c>
      <c r="E18" s="25">
        <f>IF(Mode="단리",Monthly*(Rate/12)*MIN(A18,Months)*(MIN(A18,Months)+1)/2,FV(Rate/12,MIN(A18,Months),-Monthly,0,1)-Monthly*MIN(A18,Months))</f>
        <v>0</v>
      </c>
      <c r="F18" s="26">
        <f>D18+E18</f>
        <v>0</v>
      </c>
      <c r="G18" s="15"/>
      <c r="H18" s="25">
        <f>IF(G18="","",SUM(G$5:G18))</f>
        <v>0</v>
      </c>
      <c r="I18" s="27">
        <f>IF(H18="","",H18-D18)</f>
        <v>0</v>
      </c>
      <c r="J18" s="28">
        <f>IF(Goal=0,"",F18/Goal)</f>
        <v>0</v>
      </c>
    </row>
    <row r="19" spans="1:10" x14ac:dyDescent="0.25">
      <c r="A19" s="23">
        <v>15</v>
      </c>
      <c r="B19" s="24">
        <f>IF(A19&gt;Months,"",EDATE(StartDate,A19-1))</f>
        <v>0</v>
      </c>
      <c r="C19" s="25">
        <f>IF(A19&gt;Months,"",Monthly)</f>
        <v>0</v>
      </c>
      <c r="D19" s="25">
        <f>Monthly*MIN(A19,Months)</f>
        <v>0</v>
      </c>
      <c r="E19" s="25">
        <f>IF(Mode="단리",Monthly*(Rate/12)*MIN(A19,Months)*(MIN(A19,Months)+1)/2,FV(Rate/12,MIN(A19,Months),-Monthly,0,1)-Monthly*MIN(A19,Months))</f>
        <v>0</v>
      </c>
      <c r="F19" s="26">
        <f>D19+E19</f>
        <v>0</v>
      </c>
      <c r="G19" s="15"/>
      <c r="H19" s="25">
        <f>IF(G19="","",SUM(G$5:G19))</f>
        <v>0</v>
      </c>
      <c r="I19" s="27">
        <f>IF(H19="","",H19-D19)</f>
        <v>0</v>
      </c>
      <c r="J19" s="28">
        <f>IF(Goal=0,"",F19/Goal)</f>
        <v>0</v>
      </c>
    </row>
    <row r="20" spans="1:10" x14ac:dyDescent="0.25">
      <c r="A20" s="23">
        <v>16</v>
      </c>
      <c r="B20" s="24">
        <f>IF(A20&gt;Months,"",EDATE(StartDate,A20-1))</f>
        <v>0</v>
      </c>
      <c r="C20" s="25">
        <f>IF(A20&gt;Months,"",Monthly)</f>
        <v>0</v>
      </c>
      <c r="D20" s="25">
        <f>Monthly*MIN(A20,Months)</f>
        <v>0</v>
      </c>
      <c r="E20" s="25">
        <f>IF(Mode="단리",Monthly*(Rate/12)*MIN(A20,Months)*(MIN(A20,Months)+1)/2,FV(Rate/12,MIN(A20,Months),-Monthly,0,1)-Monthly*MIN(A20,Months))</f>
        <v>0</v>
      </c>
      <c r="F20" s="26">
        <f>D20+E20</f>
        <v>0</v>
      </c>
      <c r="G20" s="15"/>
      <c r="H20" s="25">
        <f>IF(G20="","",SUM(G$5:G20))</f>
        <v>0</v>
      </c>
      <c r="I20" s="27">
        <f>IF(H20="","",H20-D20)</f>
        <v>0</v>
      </c>
      <c r="J20" s="28">
        <f>IF(Goal=0,"",F20/Goal)</f>
        <v>0</v>
      </c>
    </row>
    <row r="21" spans="1:10" x14ac:dyDescent="0.25">
      <c r="A21" s="23">
        <v>17</v>
      </c>
      <c r="B21" s="24">
        <f>IF(A21&gt;Months,"",EDATE(StartDate,A21-1))</f>
        <v>0</v>
      </c>
      <c r="C21" s="25">
        <f>IF(A21&gt;Months,"",Monthly)</f>
        <v>0</v>
      </c>
      <c r="D21" s="25">
        <f>Monthly*MIN(A21,Months)</f>
        <v>0</v>
      </c>
      <c r="E21" s="25">
        <f>IF(Mode="단리",Monthly*(Rate/12)*MIN(A21,Months)*(MIN(A21,Months)+1)/2,FV(Rate/12,MIN(A21,Months),-Monthly,0,1)-Monthly*MIN(A21,Months))</f>
        <v>0</v>
      </c>
      <c r="F21" s="26">
        <f>D21+E21</f>
        <v>0</v>
      </c>
      <c r="G21" s="15"/>
      <c r="H21" s="25">
        <f>IF(G21="","",SUM(G$5:G21))</f>
        <v>0</v>
      </c>
      <c r="I21" s="27">
        <f>IF(H21="","",H21-D21)</f>
        <v>0</v>
      </c>
      <c r="J21" s="28">
        <f>IF(Goal=0,"",F21/Goal)</f>
        <v>0</v>
      </c>
    </row>
    <row r="22" spans="1:10" x14ac:dyDescent="0.25">
      <c r="A22" s="23">
        <v>18</v>
      </c>
      <c r="B22" s="24">
        <f>IF(A22&gt;Months,"",EDATE(StartDate,A22-1))</f>
        <v>0</v>
      </c>
      <c r="C22" s="25">
        <f>IF(A22&gt;Months,"",Monthly)</f>
        <v>0</v>
      </c>
      <c r="D22" s="25">
        <f>Monthly*MIN(A22,Months)</f>
        <v>0</v>
      </c>
      <c r="E22" s="25">
        <f>IF(Mode="단리",Monthly*(Rate/12)*MIN(A22,Months)*(MIN(A22,Months)+1)/2,FV(Rate/12,MIN(A22,Months),-Monthly,0,1)-Monthly*MIN(A22,Months))</f>
        <v>0</v>
      </c>
      <c r="F22" s="26">
        <f>D22+E22</f>
        <v>0</v>
      </c>
      <c r="G22" s="15"/>
      <c r="H22" s="25">
        <f>IF(G22="","",SUM(G$5:G22))</f>
        <v>0</v>
      </c>
      <c r="I22" s="27">
        <f>IF(H22="","",H22-D22)</f>
        <v>0</v>
      </c>
      <c r="J22" s="28">
        <f>IF(Goal=0,"",F22/Goal)</f>
        <v>0</v>
      </c>
    </row>
    <row r="23" spans="1:10" x14ac:dyDescent="0.25">
      <c r="A23" s="23">
        <v>19</v>
      </c>
      <c r="B23" s="24">
        <f>IF(A23&gt;Months,"",EDATE(StartDate,A23-1))</f>
        <v>0</v>
      </c>
      <c r="C23" s="25">
        <f>IF(A23&gt;Months,"",Monthly)</f>
        <v>0</v>
      </c>
      <c r="D23" s="25">
        <f>Monthly*MIN(A23,Months)</f>
        <v>0</v>
      </c>
      <c r="E23" s="25">
        <f>IF(Mode="단리",Monthly*(Rate/12)*MIN(A23,Months)*(MIN(A23,Months)+1)/2,FV(Rate/12,MIN(A23,Months),-Monthly,0,1)-Monthly*MIN(A23,Months))</f>
        <v>0</v>
      </c>
      <c r="F23" s="26">
        <f>D23+E23</f>
        <v>0</v>
      </c>
      <c r="G23" s="15"/>
      <c r="H23" s="25">
        <f>IF(G23="","",SUM(G$5:G23))</f>
        <v>0</v>
      </c>
      <c r="I23" s="27">
        <f>IF(H23="","",H23-D23)</f>
        <v>0</v>
      </c>
      <c r="J23" s="28">
        <f>IF(Goal=0,"",F23/Goal)</f>
        <v>0</v>
      </c>
    </row>
    <row r="24" spans="1:10" x14ac:dyDescent="0.25">
      <c r="A24" s="23">
        <v>20</v>
      </c>
      <c r="B24" s="24">
        <f>IF(A24&gt;Months,"",EDATE(StartDate,A24-1))</f>
        <v>0</v>
      </c>
      <c r="C24" s="25">
        <f>IF(A24&gt;Months,"",Monthly)</f>
        <v>0</v>
      </c>
      <c r="D24" s="25">
        <f>Monthly*MIN(A24,Months)</f>
        <v>0</v>
      </c>
      <c r="E24" s="25">
        <f>IF(Mode="단리",Monthly*(Rate/12)*MIN(A24,Months)*(MIN(A24,Months)+1)/2,FV(Rate/12,MIN(A24,Months),-Monthly,0,1)-Monthly*MIN(A24,Months))</f>
        <v>0</v>
      </c>
      <c r="F24" s="26">
        <f>D24+E24</f>
        <v>0</v>
      </c>
      <c r="G24" s="15"/>
      <c r="H24" s="25">
        <f>IF(G24="","",SUM(G$5:G24))</f>
        <v>0</v>
      </c>
      <c r="I24" s="27">
        <f>IF(H24="","",H24-D24)</f>
        <v>0</v>
      </c>
      <c r="J24" s="28">
        <f>IF(Goal=0,"",F24/Goal)</f>
        <v>0</v>
      </c>
    </row>
    <row r="25" spans="1:10" x14ac:dyDescent="0.25">
      <c r="A25" s="23">
        <v>21</v>
      </c>
      <c r="B25" s="24">
        <f>IF(A25&gt;Months,"",EDATE(StartDate,A25-1))</f>
        <v>0</v>
      </c>
      <c r="C25" s="25">
        <f>IF(A25&gt;Months,"",Monthly)</f>
        <v>0</v>
      </c>
      <c r="D25" s="25">
        <f>Monthly*MIN(A25,Months)</f>
        <v>0</v>
      </c>
      <c r="E25" s="25">
        <f>IF(Mode="단리",Monthly*(Rate/12)*MIN(A25,Months)*(MIN(A25,Months)+1)/2,FV(Rate/12,MIN(A25,Months),-Monthly,0,1)-Monthly*MIN(A25,Months))</f>
        <v>0</v>
      </c>
      <c r="F25" s="26">
        <f>D25+E25</f>
        <v>0</v>
      </c>
      <c r="G25" s="15"/>
      <c r="H25" s="25">
        <f>IF(G25="","",SUM(G$5:G25))</f>
        <v>0</v>
      </c>
      <c r="I25" s="27">
        <f>IF(H25="","",H25-D25)</f>
        <v>0</v>
      </c>
      <c r="J25" s="28">
        <f>IF(Goal=0,"",F25/Goal)</f>
        <v>0</v>
      </c>
    </row>
    <row r="26" spans="1:10" x14ac:dyDescent="0.25">
      <c r="A26" s="23">
        <v>22</v>
      </c>
      <c r="B26" s="24">
        <f>IF(A26&gt;Months,"",EDATE(StartDate,A26-1))</f>
        <v>0</v>
      </c>
      <c r="C26" s="25">
        <f>IF(A26&gt;Months,"",Monthly)</f>
        <v>0</v>
      </c>
      <c r="D26" s="25">
        <f>Monthly*MIN(A26,Months)</f>
        <v>0</v>
      </c>
      <c r="E26" s="25">
        <f>IF(Mode="단리",Monthly*(Rate/12)*MIN(A26,Months)*(MIN(A26,Months)+1)/2,FV(Rate/12,MIN(A26,Months),-Monthly,0,1)-Monthly*MIN(A26,Months))</f>
        <v>0</v>
      </c>
      <c r="F26" s="26">
        <f>D26+E26</f>
        <v>0</v>
      </c>
      <c r="G26" s="15"/>
      <c r="H26" s="25">
        <f>IF(G26="","",SUM(G$5:G26))</f>
        <v>0</v>
      </c>
      <c r="I26" s="27">
        <f>IF(H26="","",H26-D26)</f>
        <v>0</v>
      </c>
      <c r="J26" s="28">
        <f>IF(Goal=0,"",F26/Goal)</f>
        <v>0</v>
      </c>
    </row>
    <row r="27" spans="1:10" x14ac:dyDescent="0.25">
      <c r="A27" s="23">
        <v>23</v>
      </c>
      <c r="B27" s="24">
        <f>IF(A27&gt;Months,"",EDATE(StartDate,A27-1))</f>
        <v>0</v>
      </c>
      <c r="C27" s="25">
        <f>IF(A27&gt;Months,"",Monthly)</f>
        <v>0</v>
      </c>
      <c r="D27" s="25">
        <f>Monthly*MIN(A27,Months)</f>
        <v>0</v>
      </c>
      <c r="E27" s="25">
        <f>IF(Mode="단리",Monthly*(Rate/12)*MIN(A27,Months)*(MIN(A27,Months)+1)/2,FV(Rate/12,MIN(A27,Months),-Monthly,0,1)-Monthly*MIN(A27,Months))</f>
        <v>0</v>
      </c>
      <c r="F27" s="26">
        <f>D27+E27</f>
        <v>0</v>
      </c>
      <c r="G27" s="15"/>
      <c r="H27" s="25">
        <f>IF(G27="","",SUM(G$5:G27))</f>
        <v>0</v>
      </c>
      <c r="I27" s="27">
        <f>IF(H27="","",H27-D27)</f>
        <v>0</v>
      </c>
      <c r="J27" s="28">
        <f>IF(Goal=0,"",F27/Goal)</f>
        <v>0</v>
      </c>
    </row>
    <row r="28" spans="1:10" x14ac:dyDescent="0.25">
      <c r="A28" s="23">
        <v>24</v>
      </c>
      <c r="B28" s="24">
        <f>IF(A28&gt;Months,"",EDATE(StartDate,A28-1))</f>
        <v>0</v>
      </c>
      <c r="C28" s="25">
        <f>IF(A28&gt;Months,"",Monthly)</f>
        <v>0</v>
      </c>
      <c r="D28" s="25">
        <f>Monthly*MIN(A28,Months)</f>
        <v>0</v>
      </c>
      <c r="E28" s="25">
        <f>IF(Mode="단리",Monthly*(Rate/12)*MIN(A28,Months)*(MIN(A28,Months)+1)/2,FV(Rate/12,MIN(A28,Months),-Monthly,0,1)-Monthly*MIN(A28,Months))</f>
        <v>0</v>
      </c>
      <c r="F28" s="26">
        <f>D28+E28</f>
        <v>0</v>
      </c>
      <c r="G28" s="15"/>
      <c r="H28" s="25">
        <f>IF(G28="","",SUM(G$5:G28))</f>
        <v>0</v>
      </c>
      <c r="I28" s="27">
        <f>IF(H28="","",H28-D28)</f>
        <v>0</v>
      </c>
      <c r="J28" s="28">
        <f>IF(Goal=0,"",F28/Goal)</f>
        <v>0</v>
      </c>
    </row>
    <row r="29" spans="1:10" x14ac:dyDescent="0.25">
      <c r="A29" s="23">
        <v>25</v>
      </c>
      <c r="B29" s="24">
        <f>IF(A29&gt;Months,"",EDATE(StartDate,A29-1))</f>
        <v>0</v>
      </c>
      <c r="C29" s="25">
        <f>IF(A29&gt;Months,"",Monthly)</f>
        <v>0</v>
      </c>
      <c r="D29" s="25">
        <f>Monthly*MIN(A29,Months)</f>
        <v>0</v>
      </c>
      <c r="E29" s="25">
        <f>IF(Mode="단리",Monthly*(Rate/12)*MIN(A29,Months)*(MIN(A29,Months)+1)/2,FV(Rate/12,MIN(A29,Months),-Monthly,0,1)-Monthly*MIN(A29,Months))</f>
        <v>0</v>
      </c>
      <c r="F29" s="26">
        <f>D29+E29</f>
        <v>0</v>
      </c>
      <c r="G29" s="15"/>
      <c r="H29" s="25">
        <f>IF(G29="","",SUM(G$5:G29))</f>
        <v>0</v>
      </c>
      <c r="I29" s="27">
        <f>IF(H29="","",H29-D29)</f>
        <v>0</v>
      </c>
      <c r="J29" s="28">
        <f>IF(Goal=0,"",F29/Goal)</f>
        <v>0</v>
      </c>
    </row>
    <row r="30" spans="1:10" x14ac:dyDescent="0.25">
      <c r="A30" s="23">
        <v>26</v>
      </c>
      <c r="B30" s="24">
        <f>IF(A30&gt;Months,"",EDATE(StartDate,A30-1))</f>
        <v>0</v>
      </c>
      <c r="C30" s="25">
        <f>IF(A30&gt;Months,"",Monthly)</f>
        <v>0</v>
      </c>
      <c r="D30" s="25">
        <f>Monthly*MIN(A30,Months)</f>
        <v>0</v>
      </c>
      <c r="E30" s="25">
        <f>IF(Mode="단리",Monthly*(Rate/12)*MIN(A30,Months)*(MIN(A30,Months)+1)/2,FV(Rate/12,MIN(A30,Months),-Monthly,0,1)-Monthly*MIN(A30,Months))</f>
        <v>0</v>
      </c>
      <c r="F30" s="26">
        <f>D30+E30</f>
        <v>0</v>
      </c>
      <c r="G30" s="15"/>
      <c r="H30" s="25">
        <f>IF(G30="","",SUM(G$5:G30))</f>
        <v>0</v>
      </c>
      <c r="I30" s="27">
        <f>IF(H30="","",H30-D30)</f>
        <v>0</v>
      </c>
      <c r="J30" s="28">
        <f>IF(Goal=0,"",F30/Goal)</f>
        <v>0</v>
      </c>
    </row>
    <row r="31" spans="1:10" x14ac:dyDescent="0.25">
      <c r="A31" s="23">
        <v>27</v>
      </c>
      <c r="B31" s="24">
        <f>IF(A31&gt;Months,"",EDATE(StartDate,A31-1))</f>
        <v>0</v>
      </c>
      <c r="C31" s="25">
        <f>IF(A31&gt;Months,"",Monthly)</f>
        <v>0</v>
      </c>
      <c r="D31" s="25">
        <f>Monthly*MIN(A31,Months)</f>
        <v>0</v>
      </c>
      <c r="E31" s="25">
        <f>IF(Mode="단리",Monthly*(Rate/12)*MIN(A31,Months)*(MIN(A31,Months)+1)/2,FV(Rate/12,MIN(A31,Months),-Monthly,0,1)-Monthly*MIN(A31,Months))</f>
        <v>0</v>
      </c>
      <c r="F31" s="26">
        <f>D31+E31</f>
        <v>0</v>
      </c>
      <c r="G31" s="15"/>
      <c r="H31" s="25">
        <f>IF(G31="","",SUM(G$5:G31))</f>
        <v>0</v>
      </c>
      <c r="I31" s="27">
        <f>IF(H31="","",H31-D31)</f>
        <v>0</v>
      </c>
      <c r="J31" s="28">
        <f>IF(Goal=0,"",F31/Goal)</f>
        <v>0</v>
      </c>
    </row>
    <row r="32" spans="1:10" x14ac:dyDescent="0.25">
      <c r="A32" s="23">
        <v>28</v>
      </c>
      <c r="B32" s="24">
        <f>IF(A32&gt;Months,"",EDATE(StartDate,A32-1))</f>
        <v>0</v>
      </c>
      <c r="C32" s="25">
        <f>IF(A32&gt;Months,"",Monthly)</f>
        <v>0</v>
      </c>
      <c r="D32" s="25">
        <f>Monthly*MIN(A32,Months)</f>
        <v>0</v>
      </c>
      <c r="E32" s="25">
        <f>IF(Mode="단리",Monthly*(Rate/12)*MIN(A32,Months)*(MIN(A32,Months)+1)/2,FV(Rate/12,MIN(A32,Months),-Monthly,0,1)-Monthly*MIN(A32,Months))</f>
        <v>0</v>
      </c>
      <c r="F32" s="26">
        <f>D32+E32</f>
        <v>0</v>
      </c>
      <c r="G32" s="15"/>
      <c r="H32" s="25">
        <f>IF(G32="","",SUM(G$5:G32))</f>
        <v>0</v>
      </c>
      <c r="I32" s="27">
        <f>IF(H32="","",H32-D32)</f>
        <v>0</v>
      </c>
      <c r="J32" s="28">
        <f>IF(Goal=0,"",F32/Goal)</f>
        <v>0</v>
      </c>
    </row>
    <row r="33" spans="1:10" x14ac:dyDescent="0.25">
      <c r="A33" s="23">
        <v>29</v>
      </c>
      <c r="B33" s="24">
        <f>IF(A33&gt;Months,"",EDATE(StartDate,A33-1))</f>
        <v>0</v>
      </c>
      <c r="C33" s="25">
        <f>IF(A33&gt;Months,"",Monthly)</f>
        <v>0</v>
      </c>
      <c r="D33" s="25">
        <f>Monthly*MIN(A33,Months)</f>
        <v>0</v>
      </c>
      <c r="E33" s="25">
        <f>IF(Mode="단리",Monthly*(Rate/12)*MIN(A33,Months)*(MIN(A33,Months)+1)/2,FV(Rate/12,MIN(A33,Months),-Monthly,0,1)-Monthly*MIN(A33,Months))</f>
        <v>0</v>
      </c>
      <c r="F33" s="26">
        <f>D33+E33</f>
        <v>0</v>
      </c>
      <c r="G33" s="15"/>
      <c r="H33" s="25">
        <f>IF(G33="","",SUM(G$5:G33))</f>
        <v>0</v>
      </c>
      <c r="I33" s="27">
        <f>IF(H33="","",H33-D33)</f>
        <v>0</v>
      </c>
      <c r="J33" s="28">
        <f>IF(Goal=0,"",F33/Goal)</f>
        <v>0</v>
      </c>
    </row>
    <row r="34" spans="1:10" x14ac:dyDescent="0.25">
      <c r="A34" s="23">
        <v>30</v>
      </c>
      <c r="B34" s="24">
        <f>IF(A34&gt;Months,"",EDATE(StartDate,A34-1))</f>
        <v>0</v>
      </c>
      <c r="C34" s="25">
        <f>IF(A34&gt;Months,"",Monthly)</f>
        <v>0</v>
      </c>
      <c r="D34" s="25">
        <f>Monthly*MIN(A34,Months)</f>
        <v>0</v>
      </c>
      <c r="E34" s="25">
        <f>IF(Mode="단리",Monthly*(Rate/12)*MIN(A34,Months)*(MIN(A34,Months)+1)/2,FV(Rate/12,MIN(A34,Months),-Monthly,0,1)-Monthly*MIN(A34,Months))</f>
        <v>0</v>
      </c>
      <c r="F34" s="26">
        <f>D34+E34</f>
        <v>0</v>
      </c>
      <c r="G34" s="15"/>
      <c r="H34" s="25">
        <f>IF(G34="","",SUM(G$5:G34))</f>
        <v>0</v>
      </c>
      <c r="I34" s="27">
        <f>IF(H34="","",H34-D34)</f>
        <v>0</v>
      </c>
      <c r="J34" s="28">
        <f>IF(Goal=0,"",F34/Goal)</f>
        <v>0</v>
      </c>
    </row>
    <row r="35" spans="1:10" x14ac:dyDescent="0.25">
      <c r="A35" s="23">
        <v>31</v>
      </c>
      <c r="B35" s="24">
        <f>IF(A35&gt;Months,"",EDATE(StartDate,A35-1))</f>
        <v>0</v>
      </c>
      <c r="C35" s="25">
        <f>IF(A35&gt;Months,"",Monthly)</f>
        <v>0</v>
      </c>
      <c r="D35" s="25">
        <f>Monthly*MIN(A35,Months)</f>
        <v>0</v>
      </c>
      <c r="E35" s="25">
        <f>IF(Mode="단리",Monthly*(Rate/12)*MIN(A35,Months)*(MIN(A35,Months)+1)/2,FV(Rate/12,MIN(A35,Months),-Monthly,0,1)-Monthly*MIN(A35,Months))</f>
        <v>0</v>
      </c>
      <c r="F35" s="26">
        <f>D35+E35</f>
        <v>0</v>
      </c>
      <c r="G35" s="15"/>
      <c r="H35" s="25">
        <f>IF(G35="","",SUM(G$5:G35))</f>
        <v>0</v>
      </c>
      <c r="I35" s="27">
        <f>IF(H35="","",H35-D35)</f>
        <v>0</v>
      </c>
      <c r="J35" s="28">
        <f>IF(Goal=0,"",F35/Goal)</f>
        <v>0</v>
      </c>
    </row>
    <row r="36" spans="1:10" x14ac:dyDescent="0.25">
      <c r="A36" s="23">
        <v>32</v>
      </c>
      <c r="B36" s="24">
        <f>IF(A36&gt;Months,"",EDATE(StartDate,A36-1))</f>
        <v>0</v>
      </c>
      <c r="C36" s="25">
        <f>IF(A36&gt;Months,"",Monthly)</f>
        <v>0</v>
      </c>
      <c r="D36" s="25">
        <f>Monthly*MIN(A36,Months)</f>
        <v>0</v>
      </c>
      <c r="E36" s="25">
        <f>IF(Mode="단리",Monthly*(Rate/12)*MIN(A36,Months)*(MIN(A36,Months)+1)/2,FV(Rate/12,MIN(A36,Months),-Monthly,0,1)-Monthly*MIN(A36,Months))</f>
        <v>0</v>
      </c>
      <c r="F36" s="26">
        <f>D36+E36</f>
        <v>0</v>
      </c>
      <c r="G36" s="15"/>
      <c r="H36" s="25">
        <f>IF(G36="","",SUM(G$5:G36))</f>
        <v>0</v>
      </c>
      <c r="I36" s="27">
        <f>IF(H36="","",H36-D36)</f>
        <v>0</v>
      </c>
      <c r="J36" s="28">
        <f>IF(Goal=0,"",F36/Goal)</f>
        <v>0</v>
      </c>
    </row>
    <row r="37" spans="1:10" x14ac:dyDescent="0.25">
      <c r="A37" s="23">
        <v>33</v>
      </c>
      <c r="B37" s="24">
        <f>IF(A37&gt;Months,"",EDATE(StartDate,A37-1))</f>
        <v>0</v>
      </c>
      <c r="C37" s="25">
        <f>IF(A37&gt;Months,"",Monthly)</f>
        <v>0</v>
      </c>
      <c r="D37" s="25">
        <f>Monthly*MIN(A37,Months)</f>
        <v>0</v>
      </c>
      <c r="E37" s="25">
        <f>IF(Mode="단리",Monthly*(Rate/12)*MIN(A37,Months)*(MIN(A37,Months)+1)/2,FV(Rate/12,MIN(A37,Months),-Monthly,0,1)-Monthly*MIN(A37,Months))</f>
        <v>0</v>
      </c>
      <c r="F37" s="26">
        <f>D37+E37</f>
        <v>0</v>
      </c>
      <c r="G37" s="15"/>
      <c r="H37" s="25">
        <f>IF(G37="","",SUM(G$5:G37))</f>
        <v>0</v>
      </c>
      <c r="I37" s="27">
        <f>IF(H37="","",H37-D37)</f>
        <v>0</v>
      </c>
      <c r="J37" s="28">
        <f>IF(Goal=0,"",F37/Goal)</f>
        <v>0</v>
      </c>
    </row>
    <row r="38" spans="1:10" x14ac:dyDescent="0.25">
      <c r="A38" s="23">
        <v>34</v>
      </c>
      <c r="B38" s="24">
        <f>IF(A38&gt;Months,"",EDATE(StartDate,A38-1))</f>
        <v>0</v>
      </c>
      <c r="C38" s="25">
        <f>IF(A38&gt;Months,"",Monthly)</f>
        <v>0</v>
      </c>
      <c r="D38" s="25">
        <f>Monthly*MIN(A38,Months)</f>
        <v>0</v>
      </c>
      <c r="E38" s="25">
        <f>IF(Mode="단리",Monthly*(Rate/12)*MIN(A38,Months)*(MIN(A38,Months)+1)/2,FV(Rate/12,MIN(A38,Months),-Monthly,0,1)-Monthly*MIN(A38,Months))</f>
        <v>0</v>
      </c>
      <c r="F38" s="26">
        <f>D38+E38</f>
        <v>0</v>
      </c>
      <c r="G38" s="15"/>
      <c r="H38" s="25">
        <f>IF(G38="","",SUM(G$5:G38))</f>
        <v>0</v>
      </c>
      <c r="I38" s="27">
        <f>IF(H38="","",H38-D38)</f>
        <v>0</v>
      </c>
      <c r="J38" s="28">
        <f>IF(Goal=0,"",F38/Goal)</f>
        <v>0</v>
      </c>
    </row>
    <row r="39" spans="1:10" x14ac:dyDescent="0.25">
      <c r="A39" s="23">
        <v>35</v>
      </c>
      <c r="B39" s="24">
        <f>IF(A39&gt;Months,"",EDATE(StartDate,A39-1))</f>
        <v>0</v>
      </c>
      <c r="C39" s="25">
        <f>IF(A39&gt;Months,"",Monthly)</f>
        <v>0</v>
      </c>
      <c r="D39" s="25">
        <f>Monthly*MIN(A39,Months)</f>
        <v>0</v>
      </c>
      <c r="E39" s="25">
        <f>IF(Mode="단리",Monthly*(Rate/12)*MIN(A39,Months)*(MIN(A39,Months)+1)/2,FV(Rate/12,MIN(A39,Months),-Monthly,0,1)-Monthly*MIN(A39,Months))</f>
        <v>0</v>
      </c>
      <c r="F39" s="26">
        <f>D39+E39</f>
        <v>0</v>
      </c>
      <c r="G39" s="15"/>
      <c r="H39" s="25">
        <f>IF(G39="","",SUM(G$5:G39))</f>
        <v>0</v>
      </c>
      <c r="I39" s="27">
        <f>IF(H39="","",H39-D39)</f>
        <v>0</v>
      </c>
      <c r="J39" s="28">
        <f>IF(Goal=0,"",F39/Goal)</f>
        <v>0</v>
      </c>
    </row>
    <row r="40" spans="1:10" x14ac:dyDescent="0.25">
      <c r="A40" s="23">
        <v>36</v>
      </c>
      <c r="B40" s="24">
        <f>IF(A40&gt;Months,"",EDATE(StartDate,A40-1))</f>
        <v>0</v>
      </c>
      <c r="C40" s="25">
        <f>IF(A40&gt;Months,"",Monthly)</f>
        <v>0</v>
      </c>
      <c r="D40" s="25">
        <f>Monthly*MIN(A40,Months)</f>
        <v>0</v>
      </c>
      <c r="E40" s="25">
        <f>IF(Mode="단리",Monthly*(Rate/12)*MIN(A40,Months)*(MIN(A40,Months)+1)/2,FV(Rate/12,MIN(A40,Months),-Monthly,0,1)-Monthly*MIN(A40,Months))</f>
        <v>0</v>
      </c>
      <c r="F40" s="26">
        <f>D40+E40</f>
        <v>0</v>
      </c>
      <c r="G40" s="15"/>
      <c r="H40" s="25">
        <f>IF(G40="","",SUM(G$5:G40))</f>
        <v>0</v>
      </c>
      <c r="I40" s="27">
        <f>IF(H40="","",H40-D40)</f>
        <v>0</v>
      </c>
      <c r="J40" s="28">
        <f>IF(Goal=0,"",F40/Goal)</f>
        <v>0</v>
      </c>
    </row>
    <row r="41" spans="1:10" x14ac:dyDescent="0.25">
      <c r="A41" s="23">
        <v>37</v>
      </c>
      <c r="B41" s="24">
        <f>IF(A41&gt;Months,"",EDATE(StartDate,A41-1))</f>
        <v>0</v>
      </c>
      <c r="C41" s="25">
        <f>IF(A41&gt;Months,"",Monthly)</f>
        <v>0</v>
      </c>
      <c r="D41" s="25">
        <f>Monthly*MIN(A41,Months)</f>
        <v>0</v>
      </c>
      <c r="E41" s="25">
        <f>IF(Mode="단리",Monthly*(Rate/12)*MIN(A41,Months)*(MIN(A41,Months)+1)/2,FV(Rate/12,MIN(A41,Months),-Monthly,0,1)-Monthly*MIN(A41,Months))</f>
        <v>0</v>
      </c>
      <c r="F41" s="26">
        <f>D41+E41</f>
        <v>0</v>
      </c>
      <c r="G41" s="15"/>
      <c r="H41" s="25">
        <f>IF(G41="","",SUM(G$5:G41))</f>
        <v>0</v>
      </c>
      <c r="I41" s="27">
        <f>IF(H41="","",H41-D41)</f>
        <v>0</v>
      </c>
      <c r="J41" s="28">
        <f>IF(Goal=0,"",F41/Goal)</f>
        <v>0</v>
      </c>
    </row>
    <row r="42" spans="1:10" x14ac:dyDescent="0.25">
      <c r="A42" s="23">
        <v>38</v>
      </c>
      <c r="B42" s="24">
        <f>IF(A42&gt;Months,"",EDATE(StartDate,A42-1))</f>
        <v>0</v>
      </c>
      <c r="C42" s="25">
        <f>IF(A42&gt;Months,"",Monthly)</f>
        <v>0</v>
      </c>
      <c r="D42" s="25">
        <f>Monthly*MIN(A42,Months)</f>
        <v>0</v>
      </c>
      <c r="E42" s="25">
        <f>IF(Mode="단리",Monthly*(Rate/12)*MIN(A42,Months)*(MIN(A42,Months)+1)/2,FV(Rate/12,MIN(A42,Months),-Monthly,0,1)-Monthly*MIN(A42,Months))</f>
        <v>0</v>
      </c>
      <c r="F42" s="26">
        <f>D42+E42</f>
        <v>0</v>
      </c>
      <c r="G42" s="15"/>
      <c r="H42" s="25">
        <f>IF(G42="","",SUM(G$5:G42))</f>
        <v>0</v>
      </c>
      <c r="I42" s="27">
        <f>IF(H42="","",H42-D42)</f>
        <v>0</v>
      </c>
      <c r="J42" s="28">
        <f>IF(Goal=0,"",F42/Goal)</f>
        <v>0</v>
      </c>
    </row>
    <row r="43" spans="1:10" x14ac:dyDescent="0.25">
      <c r="A43" s="23">
        <v>39</v>
      </c>
      <c r="B43" s="24">
        <f>IF(A43&gt;Months,"",EDATE(StartDate,A43-1))</f>
        <v>0</v>
      </c>
      <c r="C43" s="25">
        <f>IF(A43&gt;Months,"",Monthly)</f>
        <v>0</v>
      </c>
      <c r="D43" s="25">
        <f>Monthly*MIN(A43,Months)</f>
        <v>0</v>
      </c>
      <c r="E43" s="25">
        <f>IF(Mode="단리",Monthly*(Rate/12)*MIN(A43,Months)*(MIN(A43,Months)+1)/2,FV(Rate/12,MIN(A43,Months),-Monthly,0,1)-Monthly*MIN(A43,Months))</f>
        <v>0</v>
      </c>
      <c r="F43" s="26">
        <f>D43+E43</f>
        <v>0</v>
      </c>
      <c r="G43" s="15"/>
      <c r="H43" s="25">
        <f>IF(G43="","",SUM(G$5:G43))</f>
        <v>0</v>
      </c>
      <c r="I43" s="27">
        <f>IF(H43="","",H43-D43)</f>
        <v>0</v>
      </c>
      <c r="J43" s="28">
        <f>IF(Goal=0,"",F43/Goal)</f>
        <v>0</v>
      </c>
    </row>
    <row r="44" spans="1:10" x14ac:dyDescent="0.25">
      <c r="A44" s="23">
        <v>40</v>
      </c>
      <c r="B44" s="24">
        <f>IF(A44&gt;Months,"",EDATE(StartDate,A44-1))</f>
        <v>0</v>
      </c>
      <c r="C44" s="25">
        <f>IF(A44&gt;Months,"",Monthly)</f>
        <v>0</v>
      </c>
      <c r="D44" s="25">
        <f>Monthly*MIN(A44,Months)</f>
        <v>0</v>
      </c>
      <c r="E44" s="25">
        <f>IF(Mode="단리",Monthly*(Rate/12)*MIN(A44,Months)*(MIN(A44,Months)+1)/2,FV(Rate/12,MIN(A44,Months),-Monthly,0,1)-Monthly*MIN(A44,Months))</f>
        <v>0</v>
      </c>
      <c r="F44" s="26">
        <f>D44+E44</f>
        <v>0</v>
      </c>
      <c r="G44" s="15"/>
      <c r="H44" s="25">
        <f>IF(G44="","",SUM(G$5:G44))</f>
        <v>0</v>
      </c>
      <c r="I44" s="27">
        <f>IF(H44="","",H44-D44)</f>
        <v>0</v>
      </c>
      <c r="J44" s="28">
        <f>IF(Goal=0,"",F44/Goal)</f>
        <v>0</v>
      </c>
    </row>
    <row r="45" spans="1:10" x14ac:dyDescent="0.25">
      <c r="A45" s="23">
        <v>41</v>
      </c>
      <c r="B45" s="24">
        <f>IF(A45&gt;Months,"",EDATE(StartDate,A45-1))</f>
        <v>0</v>
      </c>
      <c r="C45" s="25">
        <f>IF(A45&gt;Months,"",Monthly)</f>
        <v>0</v>
      </c>
      <c r="D45" s="25">
        <f>Monthly*MIN(A45,Months)</f>
        <v>0</v>
      </c>
      <c r="E45" s="25">
        <f>IF(Mode="단리",Monthly*(Rate/12)*MIN(A45,Months)*(MIN(A45,Months)+1)/2,FV(Rate/12,MIN(A45,Months),-Monthly,0,1)-Monthly*MIN(A45,Months))</f>
        <v>0</v>
      </c>
      <c r="F45" s="26">
        <f>D45+E45</f>
        <v>0</v>
      </c>
      <c r="G45" s="15"/>
      <c r="H45" s="25">
        <f>IF(G45="","",SUM(G$5:G45))</f>
        <v>0</v>
      </c>
      <c r="I45" s="27">
        <f>IF(H45="","",H45-D45)</f>
        <v>0</v>
      </c>
      <c r="J45" s="28">
        <f>IF(Goal=0,"",F45/Goal)</f>
        <v>0</v>
      </c>
    </row>
    <row r="46" spans="1:10" x14ac:dyDescent="0.25">
      <c r="A46" s="23">
        <v>42</v>
      </c>
      <c r="B46" s="24">
        <f>IF(A46&gt;Months,"",EDATE(StartDate,A46-1))</f>
        <v>0</v>
      </c>
      <c r="C46" s="25">
        <f>IF(A46&gt;Months,"",Monthly)</f>
        <v>0</v>
      </c>
      <c r="D46" s="25">
        <f>Monthly*MIN(A46,Months)</f>
        <v>0</v>
      </c>
      <c r="E46" s="25">
        <f>IF(Mode="단리",Monthly*(Rate/12)*MIN(A46,Months)*(MIN(A46,Months)+1)/2,FV(Rate/12,MIN(A46,Months),-Monthly,0,1)-Monthly*MIN(A46,Months))</f>
        <v>0</v>
      </c>
      <c r="F46" s="26">
        <f>D46+E46</f>
        <v>0</v>
      </c>
      <c r="G46" s="15"/>
      <c r="H46" s="25">
        <f>IF(G46="","",SUM(G$5:G46))</f>
        <v>0</v>
      </c>
      <c r="I46" s="27">
        <f>IF(H46="","",H46-D46)</f>
        <v>0</v>
      </c>
      <c r="J46" s="28">
        <f>IF(Goal=0,"",F46/Goal)</f>
        <v>0</v>
      </c>
    </row>
    <row r="47" spans="1:10" x14ac:dyDescent="0.25">
      <c r="A47" s="23">
        <v>43</v>
      </c>
      <c r="B47" s="24">
        <f>IF(A47&gt;Months,"",EDATE(StartDate,A47-1))</f>
        <v>0</v>
      </c>
      <c r="C47" s="25">
        <f>IF(A47&gt;Months,"",Monthly)</f>
        <v>0</v>
      </c>
      <c r="D47" s="25">
        <f>Monthly*MIN(A47,Months)</f>
        <v>0</v>
      </c>
      <c r="E47" s="25">
        <f>IF(Mode="단리",Monthly*(Rate/12)*MIN(A47,Months)*(MIN(A47,Months)+1)/2,FV(Rate/12,MIN(A47,Months),-Monthly,0,1)-Monthly*MIN(A47,Months))</f>
        <v>0</v>
      </c>
      <c r="F47" s="26">
        <f>D47+E47</f>
        <v>0</v>
      </c>
      <c r="G47" s="15"/>
      <c r="H47" s="25">
        <f>IF(G47="","",SUM(G$5:G47))</f>
        <v>0</v>
      </c>
      <c r="I47" s="27">
        <f>IF(H47="","",H47-D47)</f>
        <v>0</v>
      </c>
      <c r="J47" s="28">
        <f>IF(Goal=0,"",F47/Goal)</f>
        <v>0</v>
      </c>
    </row>
    <row r="48" spans="1:10" x14ac:dyDescent="0.25">
      <c r="A48" s="23">
        <v>44</v>
      </c>
      <c r="B48" s="24">
        <f>IF(A48&gt;Months,"",EDATE(StartDate,A48-1))</f>
        <v>0</v>
      </c>
      <c r="C48" s="25">
        <f>IF(A48&gt;Months,"",Monthly)</f>
        <v>0</v>
      </c>
      <c r="D48" s="25">
        <f>Monthly*MIN(A48,Months)</f>
        <v>0</v>
      </c>
      <c r="E48" s="25">
        <f>IF(Mode="단리",Monthly*(Rate/12)*MIN(A48,Months)*(MIN(A48,Months)+1)/2,FV(Rate/12,MIN(A48,Months),-Monthly,0,1)-Monthly*MIN(A48,Months))</f>
        <v>0</v>
      </c>
      <c r="F48" s="26">
        <f>D48+E48</f>
        <v>0</v>
      </c>
      <c r="G48" s="15"/>
      <c r="H48" s="25">
        <f>IF(G48="","",SUM(G$5:G48))</f>
        <v>0</v>
      </c>
      <c r="I48" s="27">
        <f>IF(H48="","",H48-D48)</f>
        <v>0</v>
      </c>
      <c r="J48" s="28">
        <f>IF(Goal=0,"",F48/Goal)</f>
        <v>0</v>
      </c>
    </row>
    <row r="49" spans="1:10" x14ac:dyDescent="0.25">
      <c r="A49" s="23">
        <v>45</v>
      </c>
      <c r="B49" s="24">
        <f>IF(A49&gt;Months,"",EDATE(StartDate,A49-1))</f>
        <v>0</v>
      </c>
      <c r="C49" s="25">
        <f>IF(A49&gt;Months,"",Monthly)</f>
        <v>0</v>
      </c>
      <c r="D49" s="25">
        <f>Monthly*MIN(A49,Months)</f>
        <v>0</v>
      </c>
      <c r="E49" s="25">
        <f>IF(Mode="단리",Monthly*(Rate/12)*MIN(A49,Months)*(MIN(A49,Months)+1)/2,FV(Rate/12,MIN(A49,Months),-Monthly,0,1)-Monthly*MIN(A49,Months))</f>
        <v>0</v>
      </c>
      <c r="F49" s="26">
        <f>D49+E49</f>
        <v>0</v>
      </c>
      <c r="G49" s="15"/>
      <c r="H49" s="25">
        <f>IF(G49="","",SUM(G$5:G49))</f>
        <v>0</v>
      </c>
      <c r="I49" s="27">
        <f>IF(H49="","",H49-D49)</f>
        <v>0</v>
      </c>
      <c r="J49" s="28">
        <f>IF(Goal=0,"",F49/Goal)</f>
        <v>0</v>
      </c>
    </row>
    <row r="50" spans="1:10" x14ac:dyDescent="0.25">
      <c r="A50" s="23">
        <v>46</v>
      </c>
      <c r="B50" s="24">
        <f>IF(A50&gt;Months,"",EDATE(StartDate,A50-1))</f>
        <v>0</v>
      </c>
      <c r="C50" s="25">
        <f>IF(A50&gt;Months,"",Monthly)</f>
        <v>0</v>
      </c>
      <c r="D50" s="25">
        <f>Monthly*MIN(A50,Months)</f>
        <v>0</v>
      </c>
      <c r="E50" s="25">
        <f>IF(Mode="단리",Monthly*(Rate/12)*MIN(A50,Months)*(MIN(A50,Months)+1)/2,FV(Rate/12,MIN(A50,Months),-Monthly,0,1)-Monthly*MIN(A50,Months))</f>
        <v>0</v>
      </c>
      <c r="F50" s="26">
        <f>D50+E50</f>
        <v>0</v>
      </c>
      <c r="G50" s="15"/>
      <c r="H50" s="25">
        <f>IF(G50="","",SUM(G$5:G50))</f>
        <v>0</v>
      </c>
      <c r="I50" s="27">
        <f>IF(H50="","",H50-D50)</f>
        <v>0</v>
      </c>
      <c r="J50" s="28">
        <f>IF(Goal=0,"",F50/Goal)</f>
        <v>0</v>
      </c>
    </row>
    <row r="51" spans="1:10" x14ac:dyDescent="0.25">
      <c r="A51" s="23">
        <v>47</v>
      </c>
      <c r="B51" s="24">
        <f>IF(A51&gt;Months,"",EDATE(StartDate,A51-1))</f>
        <v>0</v>
      </c>
      <c r="C51" s="25">
        <f>IF(A51&gt;Months,"",Monthly)</f>
        <v>0</v>
      </c>
      <c r="D51" s="25">
        <f>Monthly*MIN(A51,Months)</f>
        <v>0</v>
      </c>
      <c r="E51" s="25">
        <f>IF(Mode="단리",Monthly*(Rate/12)*MIN(A51,Months)*(MIN(A51,Months)+1)/2,FV(Rate/12,MIN(A51,Months),-Monthly,0,1)-Monthly*MIN(A51,Months))</f>
        <v>0</v>
      </c>
      <c r="F51" s="26">
        <f>D51+E51</f>
        <v>0</v>
      </c>
      <c r="G51" s="15"/>
      <c r="H51" s="25">
        <f>IF(G51="","",SUM(G$5:G51))</f>
        <v>0</v>
      </c>
      <c r="I51" s="27">
        <f>IF(H51="","",H51-D51)</f>
        <v>0</v>
      </c>
      <c r="J51" s="28">
        <f>IF(Goal=0,"",F51/Goal)</f>
        <v>0</v>
      </c>
    </row>
    <row r="52" spans="1:10" x14ac:dyDescent="0.25">
      <c r="A52" s="23">
        <v>48</v>
      </c>
      <c r="B52" s="24">
        <f>IF(A52&gt;Months,"",EDATE(StartDate,A52-1))</f>
        <v>0</v>
      </c>
      <c r="C52" s="25">
        <f>IF(A52&gt;Months,"",Monthly)</f>
        <v>0</v>
      </c>
      <c r="D52" s="25">
        <f>Monthly*MIN(A52,Months)</f>
        <v>0</v>
      </c>
      <c r="E52" s="25">
        <f>IF(Mode="단리",Monthly*(Rate/12)*MIN(A52,Months)*(MIN(A52,Months)+1)/2,FV(Rate/12,MIN(A52,Months),-Monthly,0,1)-Monthly*MIN(A52,Months))</f>
        <v>0</v>
      </c>
      <c r="F52" s="26">
        <f>D52+E52</f>
        <v>0</v>
      </c>
      <c r="G52" s="15"/>
      <c r="H52" s="25">
        <f>IF(G52="","",SUM(G$5:G52))</f>
        <v>0</v>
      </c>
      <c r="I52" s="27">
        <f>IF(H52="","",H52-D52)</f>
        <v>0</v>
      </c>
      <c r="J52" s="28">
        <f>IF(Goal=0,"",F52/Goal)</f>
        <v>0</v>
      </c>
    </row>
    <row r="53" spans="1:10" x14ac:dyDescent="0.25">
      <c r="A53" s="23">
        <v>49</v>
      </c>
      <c r="B53" s="24">
        <f>IF(A53&gt;Months,"",EDATE(StartDate,A53-1))</f>
        <v>0</v>
      </c>
      <c r="C53" s="25">
        <f>IF(A53&gt;Months,"",Monthly)</f>
        <v>0</v>
      </c>
      <c r="D53" s="25">
        <f>Monthly*MIN(A53,Months)</f>
        <v>0</v>
      </c>
      <c r="E53" s="25">
        <f>IF(Mode="단리",Monthly*(Rate/12)*MIN(A53,Months)*(MIN(A53,Months)+1)/2,FV(Rate/12,MIN(A53,Months),-Monthly,0,1)-Monthly*MIN(A53,Months))</f>
        <v>0</v>
      </c>
      <c r="F53" s="26">
        <f>D53+E53</f>
        <v>0</v>
      </c>
      <c r="G53" s="15"/>
      <c r="H53" s="25">
        <f>IF(G53="","",SUM(G$5:G53))</f>
        <v>0</v>
      </c>
      <c r="I53" s="27">
        <f>IF(H53="","",H53-D53)</f>
        <v>0</v>
      </c>
      <c r="J53" s="28">
        <f>IF(Goal=0,"",F53/Goal)</f>
        <v>0</v>
      </c>
    </row>
    <row r="54" spans="1:10" x14ac:dyDescent="0.25">
      <c r="A54" s="23">
        <v>50</v>
      </c>
      <c r="B54" s="24">
        <f>IF(A54&gt;Months,"",EDATE(StartDate,A54-1))</f>
        <v>0</v>
      </c>
      <c r="C54" s="25">
        <f>IF(A54&gt;Months,"",Monthly)</f>
        <v>0</v>
      </c>
      <c r="D54" s="25">
        <f>Monthly*MIN(A54,Months)</f>
        <v>0</v>
      </c>
      <c r="E54" s="25">
        <f>IF(Mode="단리",Monthly*(Rate/12)*MIN(A54,Months)*(MIN(A54,Months)+1)/2,FV(Rate/12,MIN(A54,Months),-Monthly,0,1)-Monthly*MIN(A54,Months))</f>
        <v>0</v>
      </c>
      <c r="F54" s="26">
        <f>D54+E54</f>
        <v>0</v>
      </c>
      <c r="G54" s="15"/>
      <c r="H54" s="25">
        <f>IF(G54="","",SUM(G$5:G54))</f>
        <v>0</v>
      </c>
      <c r="I54" s="27">
        <f>IF(H54="","",H54-D54)</f>
        <v>0</v>
      </c>
      <c r="J54" s="28">
        <f>IF(Goal=0,"",F54/Goal)</f>
        <v>0</v>
      </c>
    </row>
    <row r="55" spans="1:10" x14ac:dyDescent="0.25">
      <c r="A55" s="23">
        <v>51</v>
      </c>
      <c r="B55" s="24">
        <f>IF(A55&gt;Months,"",EDATE(StartDate,A55-1))</f>
        <v>0</v>
      </c>
      <c r="C55" s="25">
        <f>IF(A55&gt;Months,"",Monthly)</f>
        <v>0</v>
      </c>
      <c r="D55" s="25">
        <f>Monthly*MIN(A55,Months)</f>
        <v>0</v>
      </c>
      <c r="E55" s="25">
        <f>IF(Mode="단리",Monthly*(Rate/12)*MIN(A55,Months)*(MIN(A55,Months)+1)/2,FV(Rate/12,MIN(A55,Months),-Monthly,0,1)-Monthly*MIN(A55,Months))</f>
        <v>0</v>
      </c>
      <c r="F55" s="26">
        <f>D55+E55</f>
        <v>0</v>
      </c>
      <c r="G55" s="15"/>
      <c r="H55" s="25">
        <f>IF(G55="","",SUM(G$5:G55))</f>
        <v>0</v>
      </c>
      <c r="I55" s="27">
        <f>IF(H55="","",H55-D55)</f>
        <v>0</v>
      </c>
      <c r="J55" s="28">
        <f>IF(Goal=0,"",F55/Goal)</f>
        <v>0</v>
      </c>
    </row>
    <row r="56" spans="1:10" x14ac:dyDescent="0.25">
      <c r="A56" s="23">
        <v>52</v>
      </c>
      <c r="B56" s="24">
        <f>IF(A56&gt;Months,"",EDATE(StartDate,A56-1))</f>
        <v>0</v>
      </c>
      <c r="C56" s="25">
        <f>IF(A56&gt;Months,"",Monthly)</f>
        <v>0</v>
      </c>
      <c r="D56" s="25">
        <f>Monthly*MIN(A56,Months)</f>
        <v>0</v>
      </c>
      <c r="E56" s="25">
        <f>IF(Mode="단리",Monthly*(Rate/12)*MIN(A56,Months)*(MIN(A56,Months)+1)/2,FV(Rate/12,MIN(A56,Months),-Monthly,0,1)-Monthly*MIN(A56,Months))</f>
        <v>0</v>
      </c>
      <c r="F56" s="26">
        <f>D56+E56</f>
        <v>0</v>
      </c>
      <c r="G56" s="15"/>
      <c r="H56" s="25">
        <f>IF(G56="","",SUM(G$5:G56))</f>
        <v>0</v>
      </c>
      <c r="I56" s="27">
        <f>IF(H56="","",H56-D56)</f>
        <v>0</v>
      </c>
      <c r="J56" s="28">
        <f>IF(Goal=0,"",F56/Goal)</f>
        <v>0</v>
      </c>
    </row>
    <row r="57" spans="1:10" x14ac:dyDescent="0.25">
      <c r="A57" s="23">
        <v>53</v>
      </c>
      <c r="B57" s="24">
        <f>IF(A57&gt;Months,"",EDATE(StartDate,A57-1))</f>
        <v>0</v>
      </c>
      <c r="C57" s="25">
        <f>IF(A57&gt;Months,"",Monthly)</f>
        <v>0</v>
      </c>
      <c r="D57" s="25">
        <f>Monthly*MIN(A57,Months)</f>
        <v>0</v>
      </c>
      <c r="E57" s="25">
        <f>IF(Mode="단리",Monthly*(Rate/12)*MIN(A57,Months)*(MIN(A57,Months)+1)/2,FV(Rate/12,MIN(A57,Months),-Monthly,0,1)-Monthly*MIN(A57,Months))</f>
        <v>0</v>
      </c>
      <c r="F57" s="26">
        <f>D57+E57</f>
        <v>0</v>
      </c>
      <c r="G57" s="15"/>
      <c r="H57" s="25">
        <f>IF(G57="","",SUM(G$5:G57))</f>
        <v>0</v>
      </c>
      <c r="I57" s="27">
        <f>IF(H57="","",H57-D57)</f>
        <v>0</v>
      </c>
      <c r="J57" s="28">
        <f>IF(Goal=0,"",F57/Goal)</f>
        <v>0</v>
      </c>
    </row>
    <row r="58" spans="1:10" x14ac:dyDescent="0.25">
      <c r="A58" s="23">
        <v>54</v>
      </c>
      <c r="B58" s="24">
        <f>IF(A58&gt;Months,"",EDATE(StartDate,A58-1))</f>
        <v>0</v>
      </c>
      <c r="C58" s="25">
        <f>IF(A58&gt;Months,"",Monthly)</f>
        <v>0</v>
      </c>
      <c r="D58" s="25">
        <f>Monthly*MIN(A58,Months)</f>
        <v>0</v>
      </c>
      <c r="E58" s="25">
        <f>IF(Mode="단리",Monthly*(Rate/12)*MIN(A58,Months)*(MIN(A58,Months)+1)/2,FV(Rate/12,MIN(A58,Months),-Monthly,0,1)-Monthly*MIN(A58,Months))</f>
        <v>0</v>
      </c>
      <c r="F58" s="26">
        <f>D58+E58</f>
        <v>0</v>
      </c>
      <c r="G58" s="15"/>
      <c r="H58" s="25">
        <f>IF(G58="","",SUM(G$5:G58))</f>
        <v>0</v>
      </c>
      <c r="I58" s="27">
        <f>IF(H58="","",H58-D58)</f>
        <v>0</v>
      </c>
      <c r="J58" s="28">
        <f>IF(Goal=0,"",F58/Goal)</f>
        <v>0</v>
      </c>
    </row>
    <row r="59" spans="1:10" x14ac:dyDescent="0.25">
      <c r="A59" s="23">
        <v>55</v>
      </c>
      <c r="B59" s="24">
        <f>IF(A59&gt;Months,"",EDATE(StartDate,A59-1))</f>
        <v>0</v>
      </c>
      <c r="C59" s="25">
        <f>IF(A59&gt;Months,"",Monthly)</f>
        <v>0</v>
      </c>
      <c r="D59" s="25">
        <f>Monthly*MIN(A59,Months)</f>
        <v>0</v>
      </c>
      <c r="E59" s="25">
        <f>IF(Mode="단리",Monthly*(Rate/12)*MIN(A59,Months)*(MIN(A59,Months)+1)/2,FV(Rate/12,MIN(A59,Months),-Monthly,0,1)-Monthly*MIN(A59,Months))</f>
        <v>0</v>
      </c>
      <c r="F59" s="26">
        <f>D59+E59</f>
        <v>0</v>
      </c>
      <c r="G59" s="15"/>
      <c r="H59" s="25">
        <f>IF(G59="","",SUM(G$5:G59))</f>
        <v>0</v>
      </c>
      <c r="I59" s="27">
        <f>IF(H59="","",H59-D59)</f>
        <v>0</v>
      </c>
      <c r="J59" s="28">
        <f>IF(Goal=0,"",F59/Goal)</f>
        <v>0</v>
      </c>
    </row>
    <row r="60" spans="1:10" x14ac:dyDescent="0.25">
      <c r="A60" s="23">
        <v>56</v>
      </c>
      <c r="B60" s="24">
        <f>IF(A60&gt;Months,"",EDATE(StartDate,A60-1))</f>
        <v>0</v>
      </c>
      <c r="C60" s="25">
        <f>IF(A60&gt;Months,"",Monthly)</f>
        <v>0</v>
      </c>
      <c r="D60" s="25">
        <f>Monthly*MIN(A60,Months)</f>
        <v>0</v>
      </c>
      <c r="E60" s="25">
        <f>IF(Mode="단리",Monthly*(Rate/12)*MIN(A60,Months)*(MIN(A60,Months)+1)/2,FV(Rate/12,MIN(A60,Months),-Monthly,0,1)-Monthly*MIN(A60,Months))</f>
        <v>0</v>
      </c>
      <c r="F60" s="26">
        <f>D60+E60</f>
        <v>0</v>
      </c>
      <c r="G60" s="15"/>
      <c r="H60" s="25">
        <f>IF(G60="","",SUM(G$5:G60))</f>
        <v>0</v>
      </c>
      <c r="I60" s="27">
        <f>IF(H60="","",H60-D60)</f>
        <v>0</v>
      </c>
      <c r="J60" s="28">
        <f>IF(Goal=0,"",F60/Goal)</f>
        <v>0</v>
      </c>
    </row>
    <row r="61" spans="1:10" x14ac:dyDescent="0.25">
      <c r="A61" s="23">
        <v>57</v>
      </c>
      <c r="B61" s="24">
        <f>IF(A61&gt;Months,"",EDATE(StartDate,A61-1))</f>
        <v>0</v>
      </c>
      <c r="C61" s="25">
        <f>IF(A61&gt;Months,"",Monthly)</f>
        <v>0</v>
      </c>
      <c r="D61" s="25">
        <f>Monthly*MIN(A61,Months)</f>
        <v>0</v>
      </c>
      <c r="E61" s="25">
        <f>IF(Mode="단리",Monthly*(Rate/12)*MIN(A61,Months)*(MIN(A61,Months)+1)/2,FV(Rate/12,MIN(A61,Months),-Monthly,0,1)-Monthly*MIN(A61,Months))</f>
        <v>0</v>
      </c>
      <c r="F61" s="26">
        <f>D61+E61</f>
        <v>0</v>
      </c>
      <c r="G61" s="15"/>
      <c r="H61" s="25">
        <f>IF(G61="","",SUM(G$5:G61))</f>
        <v>0</v>
      </c>
      <c r="I61" s="27">
        <f>IF(H61="","",H61-D61)</f>
        <v>0</v>
      </c>
      <c r="J61" s="28">
        <f>IF(Goal=0,"",F61/Goal)</f>
        <v>0</v>
      </c>
    </row>
    <row r="62" spans="1:10" x14ac:dyDescent="0.25">
      <c r="A62" s="23">
        <v>58</v>
      </c>
      <c r="B62" s="24">
        <f>IF(A62&gt;Months,"",EDATE(StartDate,A62-1))</f>
        <v>0</v>
      </c>
      <c r="C62" s="25">
        <f>IF(A62&gt;Months,"",Monthly)</f>
        <v>0</v>
      </c>
      <c r="D62" s="25">
        <f>Monthly*MIN(A62,Months)</f>
        <v>0</v>
      </c>
      <c r="E62" s="25">
        <f>IF(Mode="단리",Monthly*(Rate/12)*MIN(A62,Months)*(MIN(A62,Months)+1)/2,FV(Rate/12,MIN(A62,Months),-Monthly,0,1)-Monthly*MIN(A62,Months))</f>
        <v>0</v>
      </c>
      <c r="F62" s="26">
        <f>D62+E62</f>
        <v>0</v>
      </c>
      <c r="G62" s="15"/>
      <c r="H62" s="25">
        <f>IF(G62="","",SUM(G$5:G62))</f>
        <v>0</v>
      </c>
      <c r="I62" s="27">
        <f>IF(H62="","",H62-D62)</f>
        <v>0</v>
      </c>
      <c r="J62" s="28">
        <f>IF(Goal=0,"",F62/Goal)</f>
        <v>0</v>
      </c>
    </row>
    <row r="63" spans="1:10" x14ac:dyDescent="0.25">
      <c r="A63" s="23">
        <v>59</v>
      </c>
      <c r="B63" s="24">
        <f>IF(A63&gt;Months,"",EDATE(StartDate,A63-1))</f>
        <v>0</v>
      </c>
      <c r="C63" s="25">
        <f>IF(A63&gt;Months,"",Monthly)</f>
        <v>0</v>
      </c>
      <c r="D63" s="25">
        <f>Monthly*MIN(A63,Months)</f>
        <v>0</v>
      </c>
      <c r="E63" s="25">
        <f>IF(Mode="단리",Monthly*(Rate/12)*MIN(A63,Months)*(MIN(A63,Months)+1)/2,FV(Rate/12,MIN(A63,Months),-Monthly,0,1)-Monthly*MIN(A63,Months))</f>
        <v>0</v>
      </c>
      <c r="F63" s="26">
        <f>D63+E63</f>
        <v>0</v>
      </c>
      <c r="G63" s="15"/>
      <c r="H63" s="25">
        <f>IF(G63="","",SUM(G$5:G63))</f>
        <v>0</v>
      </c>
      <c r="I63" s="27">
        <f>IF(H63="","",H63-D63)</f>
        <v>0</v>
      </c>
      <c r="J63" s="28">
        <f>IF(Goal=0,"",F63/Goal)</f>
        <v>0</v>
      </c>
    </row>
    <row r="64" spans="1:10" x14ac:dyDescent="0.25">
      <c r="A64" s="23">
        <v>60</v>
      </c>
      <c r="B64" s="24">
        <f>IF(A64&gt;Months,"",EDATE(StartDate,A64-1))</f>
        <v>0</v>
      </c>
      <c r="C64" s="25">
        <f>IF(A64&gt;Months,"",Monthly)</f>
        <v>0</v>
      </c>
      <c r="D64" s="25">
        <f>Monthly*MIN(A64,Months)</f>
        <v>0</v>
      </c>
      <c r="E64" s="25">
        <f>IF(Mode="단리",Monthly*(Rate/12)*MIN(A64,Months)*(MIN(A64,Months)+1)/2,FV(Rate/12,MIN(A64,Months),-Monthly,0,1)-Monthly*MIN(A64,Months))</f>
        <v>0</v>
      </c>
      <c r="F64" s="26">
        <f>D64+E64</f>
        <v>0</v>
      </c>
      <c r="G64" s="15"/>
      <c r="H64" s="25">
        <f>IF(G64="","",SUM(G$5:G64))</f>
        <v>0</v>
      </c>
      <c r="I64" s="27">
        <f>IF(H64="","",H64-D64)</f>
        <v>0</v>
      </c>
      <c r="J64" s="28">
        <f>IF(Goal=0,"",F64/Goal)</f>
        <v>0</v>
      </c>
    </row>
  </sheetData>
  <mergeCells count="2">
    <mergeCell ref="A1:J1"/>
    <mergeCell ref="A2:J2"/>
  </mergeCells>
  <conditionalFormatting sqref="A5:J64">
    <cfRule type="expression" dxfId="0" priority="2">
      <formula>$A5&gt;Months</formula>
    </cfRule>
  </conditionalFormatting>
  <conditionalFormatting sqref="J5:J64">
    <cfRule type="dataBar" priority="1">
      <dataBar>
        <cfvo type="num" val="0"/>
        <cfvo type="num" val="1"/>
        <color rgb="FFF5D4CC"/>
      </dataBar>
      <extLst>
        <ext xmlns:x14="http://schemas.microsoft.com/office/spreadsheetml/2009/9/main" uri="{B025F937-C7B1-47D3-B67F-A62EFF666E3E}">
          <x14:id>{DA7ABA51-AAAA-BBBB-0003-000000000001}</x14:id>
        </ext>
      </extLst>
    </cfRule>
  </conditionalFormatting>
  <dataValidations count="1">
    <dataValidation type="decimal" operator="greaterThanOrEqual" allowBlank="1" showInputMessage="1" showErrorMessage="1" error="0 이상의 금액을 입력해 주세요." sqref="G5:G64">
      <formula1>0</formula1>
    </dataValidation>
  </dataValidations>
  <pageMargins left="0.7" right="0.7" top="0.75" bottom="0.75" header="0.3" footer="0.3"/>
  <pageSetup fitToHeight="0" orientation="landscape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3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F5D4CC"/>
              <x14:negativeFillColor rgb="FFFF0000"/>
              <x14:negativeBorderColor rgb="FFFF0000"/>
              <x14:axisColor rgb="FF000000"/>
            </x14:dataBar>
          </x14:cfRule>
          <xm:sqref>J5:J64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HeadingPairs>
  <TitlesOfParts>
    <vt:vector size="11" baseType="lpstr">
      <vt:lpstr>시작하기</vt:lpstr>
      <vt:lpstr>계획</vt:lpstr>
      <vt:lpstr>월별표</vt:lpstr>
      <vt:lpstr>Goal</vt:lpstr>
      <vt:lpstr>Mode</vt:lpstr>
      <vt:lpstr>Monthly</vt:lpstr>
      <vt:lpstr>Months</vt:lpstr>
      <vt:lpstr>월별표!Print_Titles</vt:lpstr>
      <vt:lpstr>Rate</vt:lpstr>
      <vt:lpstr>StartDate</vt:lpstr>
      <vt:lpstr>Tax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은퇴 후 생활 준비 저축 플래너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2026-10-19T10:50:10Z</dcterms:created>
  <dcterms:modified xsi:type="dcterms:W3CDTF">2026-10-19T10:50:10Z</dcterms:modified>
</cp:coreProperties>
</file>