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<sst xmlns="http://schemas.openxmlformats.org/spreadsheetml/2006/main" count="128" uniqueCount="98">
  <si>
    <t>부부용 보험 증권 정리표</t>
  </si>
  <si>
    <t>해바라기 길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</si>
  <si>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</si>
  <si>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</si>
  <si>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</si>
  <si>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</si>
  <si>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</si>
  <si>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</si>
  <si>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</si>
  <si>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</si>
  <si>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</si>
  <si>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</si>
  <si>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</si>
  <si>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</si>
  <si>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</si>
  <si>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우체국보험 상담 안내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</si>
  <si>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</si>
  <si>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</si>
  <si>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</si>
  <si>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</si>
  <si>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</si>
  <si>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남편</t>
  </si>
  <si>
    <t>아내</t>
  </si>
  <si>
    <t>공동</t>
  </si>
  <si>
    <t>남편 측 부모님</t>
  </si>
  <si>
    <t>아내 측 부모님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</si>
  <si>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</si>
  <si>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</si>
  <si>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</si>
  <si>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</si>
  <si>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</si>
  <si>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</si>
  <si>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</si>
  <si>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</si>
  <si>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</si>
  <si>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</si>
  <si>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</si>
  <si>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</si>
  <si>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</si>
  <si>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</si>
  <si>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</si>
  <si>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</si>
  <si>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</si>
  <si>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</si>
  <si>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</si>
  <si>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</si>
  <si>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</si>
  <si>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</si>
  <si>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</si>
  <si>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</si>
  <si>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</si>
  <si>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</si>
  <si>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</si>
  <si>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</si>
  <si>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</si>
  <si>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</si>
  <si>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</si>
  <si>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</si>
  <si>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</si>
  <si>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</si>
  <si>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</si>
  <si>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</si>
  <si>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</si>
  <si>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</si>
  <si>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</si>
  <si>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</si>
  <si>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우체국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</si>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</sst>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yyyy-mm-dd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6E570C"/>
      <name val="맑은 고딕"/>
      <family val="2"/>
    </font>
    <font>
      <i/>
      <sz val="11"/>
      <color rgb="FFCAA016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6E570C"/>
      <name val="맑은 고딕"/>
      <family val="2"/>
    </font>
    <font>
      <sz val="9"/>
      <color rgb="FFCAA016"/>
      <name val="맑은 고딕"/>
      <family val="2"/>
    </font>
    <font>
      <b/>
      <sz val="18"/>
      <color rgb="FF6E570C"/>
      <name val="맑은 고딕"/>
      <family val="2"/>
    </font>
    <font>
      <sz val="9"/>
      <color rgb="FFFFFFFF"/>
      <name val="맑은 고딕"/>
      <family val="2"/>
    </font>
    <font>
      <b/>
      <sz val="16"/>
      <color rgb="FF6E570C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CAA016"/>
        <bgColor indexed="64"/>
      </patternFill>
    </fill>
    <fill>
      <patternFill patternType="solid">
        <fgColor rgb="FFFAEEC6"/>
        <bgColor indexed="64"/>
      </patternFill>
    </fill>
    <fill>
      <patternFill patternType="solid">
        <fgColor rgb="FF6E570C"/>
        <bgColor indexed="64"/>
      </patternFill>
    </fill>
    <fill>
      <patternFill patternType="solid">
        <fgColor rgb="FFFDF9ED"/>
        <bgColor indexed="64"/>
      </patternFill>
    </fill>
  </fills>
  <borders count="5">
    <border>
      <left/>
      <right/>
      <top/>
      <bottom/>
      <diagonal/>
    </border>
    <border>
      <left style="thin">
        <color rgb="FFFAEEC6"/>
      </left>
      <right style="thin">
        <color rgb="FFFAEEC6"/>
      </right>
      <top style="thin">
        <color rgb="FFFAEEC6"/>
      </top>
      <bottom style="thin">
        <color rgb="FFFAEEC6"/>
      </bottom>
      <diagonal/>
    </border>
    <border>
      <left style="thin">
        <color rgb="FF6E570C"/>
      </left>
      <right style="thin">
        <color rgb="FF6E570C"/>
      </right>
      <top style="thin">
        <color rgb="FF6E570C"/>
      </top>
      <bottom style="thin">
        <color rgb="FF6E570C"/>
      </bottom>
      <diagonal/>
    </border>
    <border>
      <left style="thin">
        <color rgb="FFCAA016"/>
      </left>
      <right style="thin">
        <color rgb="FFCAA016"/>
      </right>
      <top style="thin">
        <color rgb="FFCAA016"/>
      </top>
      <bottom style="thin">
        <color rgb="FFCAA016"/>
      </bottom>
      <diagonal/>
    </border>
    <border>
      <left/>
      <right/>
      <top style="medium">
        <color rgb="FFCAA016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6E570C"/>
      </font>
      <fill>
        <patternFill>
          <bgColor rgb="FFFAEEC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6E570C"/>
                </a:solidFill>
                <a:latin typeface="맑은 고딕"/>
              </a:defRPr>
            </a:pPr>
            <a:r>
              <a:rPr lang="en-US" sz="1100" baseline="0">
                <a:solidFill>
                  <a:srgbClr val="6E570C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종류별 월 환산</c:v>
          </c:tx>
          <c:spPr>
            <a:solidFill>
              <a:srgbClr val="CAA016"/>
            </a:solidFill>
          </c:spPr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spPr>
    <a:ln>
      <a:solidFill>
        <a:srgbClr val="FAEEC6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6E570C"/>
                </a:solidFill>
                <a:latin typeface="맑은 고딕"/>
              </a:defRPr>
            </a:pPr>
            <a:r>
              <a:rPr lang="en-US" sz="1100" baseline="0">
                <a:solidFill>
                  <a:srgbClr val="6E570C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대상별 월 환산</c:v>
          </c:tx>
          <c:dPt>
            <c:idx val="0"/>
            <c:spPr>
              <a:solidFill>
                <a:srgbClr val="81660E"/>
              </a:solidFill>
            </c:spPr>
          </c:dPt>
          <c:dPt>
            <c:idx val="1"/>
            <c:spPr>
              <a:solidFill>
                <a:srgbClr val="A8A91B"/>
              </a:solidFill>
            </c:spPr>
          </c:dPt>
          <c:dPt>
            <c:idx val="2"/>
            <c:spPr>
              <a:solidFill>
                <a:srgbClr val="AFE018"/>
              </a:solidFill>
            </c:spPr>
          </c:dPt>
          <c:dPt>
            <c:idx val="3"/>
            <c:spPr>
              <a:solidFill>
                <a:srgbClr val="E2BF4C"/>
              </a:solidFill>
            </c:spPr>
          </c:dPt>
          <c:dPt>
            <c:idx val="4"/>
            <c:spPr>
              <a:solidFill>
                <a:srgbClr val="EFF073"/>
              </a:solidFill>
            </c:spPr>
          </c:dPt>
          <c:dPt>
            <c:idx val="5"/>
            <c:spPr>
              <a:solidFill>
                <a:srgbClr val="DFF1A7"/>
              </a:solidFill>
            </c:spPr>
          </c:dPt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AEEC6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AA016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22" customHeight="1">
      <c r="B10" s="6" t="s">
        <v>9</v>
      </c>
      <c r="C10" s="7" t="s">
        <v>10</v>
      </c>
    </row>
    <row r="11" spans="2:3" ht="22" customHeight="1">
      <c r="B11" s="6" t="s">
        <v>11</v>
      </c>
      <c r="C11" s="7" t="s">
        <v>12</v>
      </c>
    </row>
    <row r="13" spans="2:3" ht="28" customHeight="1">
      <c r="B13" s="8" t="s">
        <v>13</v>
      </c>
      <c r="C13" s="8"/>
    </row>
    <row r="14" spans="2:3" ht="28" customHeight="1">
      <c r="B14" s="8" t="s">
        <v>14</v>
      </c>
      <c r="C14" s="8"/>
    </row>
    <row r="16" spans="2:3">
      <c r="B16" s="9" t="s">
        <v>15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AA016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50</v>
      </c>
      <c r="C3" s="11"/>
      <c r="D3" s="11"/>
      <c r="E3" s="11" t="s">
        <v>51</v>
      </c>
      <c r="F3" s="11"/>
      <c r="G3" s="11"/>
      <c r="H3" s="11" t="s">
        <v>52</v>
      </c>
      <c r="I3" s="11"/>
      <c r="J3" s="11"/>
      <c r="K3" s="11" t="s">
        <v>53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54</v>
      </c>
      <c r="B5" s="14" t="s">
        <v>55</v>
      </c>
      <c r="C5" s="14" t="s">
        <v>56</v>
      </c>
      <c r="D5" s="14" t="s">
        <v>57</v>
      </c>
      <c r="E5" s="14" t="s">
        <v>58</v>
      </c>
      <c r="F5" s="14" t="s">
        <v>59</v>
      </c>
      <c r="G5" s="14" t="s">
        <v>60</v>
      </c>
      <c r="H5" s="14" t="s">
        <v>19</v>
      </c>
      <c r="I5" s="14" t="s">
        <v>61</v>
      </c>
      <c r="J5" s="14" t="s">
        <v>62</v>
      </c>
      <c r="K5" s="14" t="s">
        <v>20</v>
      </c>
      <c r="L5" s="14" t="s">
        <v>63</v>
      </c>
      <c r="M5" s="14" t="s">
        <v>64</v>
      </c>
      <c r="N5" s="14" t="s">
        <v>65</v>
      </c>
    </row>
    <row r="6" spans="1:14">
      <c r="A6" s="15">
        <v>1</v>
      </c>
      <c r="B6" s="16" t="s">
        <v>21</v>
      </c>
      <c r="C6" s="17" t="s">
        <v>66</v>
      </c>
      <c r="D6" s="17" t="s">
        <v>67</v>
      </c>
      <c r="E6" s="16" t="s">
        <v>29</v>
      </c>
      <c r="F6" s="18">
        <v>44635</v>
      </c>
      <c r="G6" s="18">
        <v>51940</v>
      </c>
      <c r="H6" s="16" t="s">
        <v>39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45</v>
      </c>
      <c r="L6" s="21">
        <f>IF(OR(G6="",K6&lt;&gt;"유지"),"",G6-TODAY())</f>
        <v>0</v>
      </c>
      <c r="M6" s="22" t="s">
        <v>68</v>
      </c>
      <c r="N6" s="22" t="s">
        <v>69</v>
      </c>
    </row>
    <row r="7" spans="1:14">
      <c r="A7" s="15">
        <v>2</v>
      </c>
      <c r="B7" s="16" t="s">
        <v>22</v>
      </c>
      <c r="C7" s="17" t="s">
        <v>70</v>
      </c>
      <c r="D7" s="17" t="s">
        <v>71</v>
      </c>
      <c r="E7" s="16" t="s">
        <v>32</v>
      </c>
      <c r="F7" s="18">
        <v>45108</v>
      </c>
      <c r="G7" s="18">
        <v>46387</v>
      </c>
      <c r="H7" s="16" t="s">
        <v>39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45</v>
      </c>
      <c r="L7" s="21">
        <f>IF(OR(G7="",K7&lt;&gt;"유지"),"",G7-TODAY())</f>
        <v>0</v>
      </c>
      <c r="M7" s="22" t="s">
        <v>68</v>
      </c>
      <c r="N7" s="22" t="s">
        <v>72</v>
      </c>
    </row>
    <row r="8" spans="1:14">
      <c r="A8" s="15">
        <v>3</v>
      </c>
      <c r="B8" s="16" t="s">
        <v>23</v>
      </c>
      <c r="C8" s="17" t="s">
        <v>66</v>
      </c>
      <c r="D8" s="17" t="s">
        <v>73</v>
      </c>
      <c r="E8" s="16" t="s">
        <v>33</v>
      </c>
      <c r="F8" s="18">
        <v>43789</v>
      </c>
      <c r="G8" s="18">
        <v>54747</v>
      </c>
      <c r="H8" s="16" t="s">
        <v>42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45</v>
      </c>
      <c r="L8" s="21">
        <f>IF(OR(G8="",K8&lt;&gt;"유지"),"",G8-TODAY())</f>
        <v>0</v>
      </c>
      <c r="M8" s="22" t="s">
        <v>68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AA016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74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75</v>
      </c>
      <c r="C3" s="14" t="s">
        <v>76</v>
      </c>
      <c r="D3" s="14" t="s">
        <v>62</v>
      </c>
      <c r="E3" s="14" t="s">
        <v>77</v>
      </c>
      <c r="G3" s="14" t="s">
        <v>79</v>
      </c>
      <c r="H3" s="14" t="s">
        <v>76</v>
      </c>
      <c r="I3" s="14" t="s">
        <v>62</v>
      </c>
      <c r="J3" s="14" t="s">
        <v>77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78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80</v>
      </c>
      <c r="C12" s="14" t="s">
        <v>76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81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82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83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84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85</v>
      </c>
      <c r="C17" s="25">
        <f>COUNTIFS('정리표'!$L$6:$L$55,"&lt;0")</f>
        <v>0</v>
      </c>
      <c r="G17" s="27" t="s">
        <v>78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CAA016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86</v>
      </c>
      <c r="C1" s="23"/>
      <c r="D1" s="23"/>
      <c r="E1" s="23"/>
      <c r="F1" s="23"/>
      <c r="G1" s="23"/>
      <c r="H1" s="23"/>
    </row>
    <row r="2" spans="2:8">
      <c r="B2" s="14" t="s">
        <v>87</v>
      </c>
      <c r="C2" s="18">
        <v>46023</v>
      </c>
    </row>
    <row r="4" spans="2:8">
      <c r="B4" s="14" t="s">
        <v>88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89</v>
      </c>
      <c r="C5" s="16"/>
      <c r="D5" s="16"/>
      <c r="E5" s="16"/>
      <c r="F5" s="16"/>
      <c r="G5" s="16"/>
      <c r="H5" s="16"/>
    </row>
    <row r="6" spans="2:8">
      <c r="B6" s="24" t="s">
        <v>90</v>
      </c>
      <c r="C6" s="16"/>
      <c r="D6" s="16"/>
      <c r="E6" s="16"/>
      <c r="F6" s="16"/>
      <c r="G6" s="16"/>
      <c r="H6" s="16"/>
    </row>
    <row r="7" spans="2:8">
      <c r="B7" s="24" t="s">
        <v>30</v>
      </c>
      <c r="C7" s="16"/>
      <c r="D7" s="16"/>
      <c r="E7" s="16"/>
      <c r="F7" s="16"/>
      <c r="G7" s="16"/>
      <c r="H7" s="16"/>
    </row>
    <row r="8" spans="2:8">
      <c r="B8" s="24" t="s">
        <v>91</v>
      </c>
      <c r="C8" s="16"/>
      <c r="D8" s="16"/>
      <c r="E8" s="16"/>
      <c r="F8" s="16"/>
      <c r="G8" s="16"/>
      <c r="H8" s="16"/>
    </row>
    <row r="9" spans="2:8">
      <c r="B9" s="24" t="s">
        <v>92</v>
      </c>
      <c r="C9" s="16"/>
      <c r="D9" s="16"/>
      <c r="E9" s="16"/>
      <c r="F9" s="16"/>
      <c r="G9" s="16"/>
      <c r="H9" s="16"/>
    </row>
    <row r="10" spans="2:8">
      <c r="B10" s="24" t="s">
        <v>93</v>
      </c>
      <c r="C10" s="16"/>
      <c r="D10" s="16"/>
      <c r="E10" s="16"/>
      <c r="F10" s="16"/>
      <c r="G10" s="16"/>
      <c r="H10" s="16"/>
    </row>
    <row r="11" spans="2:8">
      <c r="B11" s="24" t="s">
        <v>31</v>
      </c>
      <c r="C11" s="16"/>
      <c r="D11" s="16"/>
      <c r="E11" s="16"/>
      <c r="F11" s="16"/>
      <c r="G11" s="16"/>
      <c r="H11" s="16"/>
    </row>
    <row r="12" spans="2:8">
      <c r="B12" s="24" t="s">
        <v>32</v>
      </c>
      <c r="C12" s="16"/>
      <c r="D12" s="16"/>
      <c r="E12" s="16"/>
      <c r="F12" s="16"/>
      <c r="G12" s="16"/>
      <c r="H12" s="16"/>
    </row>
    <row r="13" spans="2:8">
      <c r="B13" s="24" t="s">
        <v>94</v>
      </c>
      <c r="C13" s="16"/>
      <c r="D13" s="16"/>
      <c r="E13" s="16"/>
      <c r="F13" s="16"/>
      <c r="G13" s="16"/>
      <c r="H13" s="16"/>
    </row>
    <row r="14" spans="2:8">
      <c r="B14" s="24" t="s">
        <v>95</v>
      </c>
      <c r="C14" s="16"/>
      <c r="D14" s="16"/>
      <c r="E14" s="16"/>
      <c r="F14" s="16"/>
      <c r="G14" s="16"/>
      <c r="H14" s="16"/>
    </row>
    <row r="15" spans="2:8">
      <c r="B15" s="24" t="s">
        <v>96</v>
      </c>
      <c r="C15" s="16"/>
      <c r="D15" s="16"/>
      <c r="E15" s="16"/>
      <c r="F15" s="16"/>
      <c r="G15" s="16"/>
      <c r="H15" s="16"/>
    </row>
    <row r="16" spans="2:8">
      <c r="B16" s="24" t="s">
        <v>38</v>
      </c>
      <c r="C16" s="16"/>
      <c r="D16" s="16"/>
      <c r="E16" s="16"/>
      <c r="F16" s="16"/>
      <c r="G16" s="16"/>
      <c r="H16" s="16"/>
    </row>
    <row r="17" spans="2:8">
      <c r="B17" s="24" t="s">
        <v>37</v>
      </c>
      <c r="C17" s="16"/>
      <c r="D17" s="16"/>
      <c r="E17" s="16"/>
      <c r="F17" s="16"/>
      <c r="G17" s="16"/>
      <c r="H17" s="16"/>
    </row>
    <row r="19" spans="2:8">
      <c r="B19" s="8" t="s">
        <v>97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7A91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16</v>
      </c>
      <c r="C1" s="23"/>
      <c r="D1" s="23"/>
      <c r="E1" s="23"/>
      <c r="F1" s="23"/>
      <c r="G1" s="23"/>
    </row>
    <row r="3" spans="2:7">
      <c r="B3" s="14" t="s">
        <v>17</v>
      </c>
      <c r="C3" s="14" t="s">
        <v>18</v>
      </c>
      <c r="D3" s="14" t="s">
        <v>19</v>
      </c>
      <c r="E3" s="14" t="s">
        <v>20</v>
      </c>
    </row>
    <row r="4" spans="2:7">
      <c r="B4" s="22" t="s">
        <v>21</v>
      </c>
      <c r="C4" s="22" t="s">
        <v>27</v>
      </c>
      <c r="D4" s="24" t="s">
        <v>39</v>
      </c>
      <c r="E4" s="24" t="s">
        <v>45</v>
      </c>
    </row>
    <row r="5" spans="2:7">
      <c r="B5" s="22" t="s">
        <v>22</v>
      </c>
      <c r="C5" s="22" t="s">
        <v>28</v>
      </c>
      <c r="D5" s="24" t="s">
        <v>40</v>
      </c>
      <c r="E5" s="24" t="s">
        <v>46</v>
      </c>
    </row>
    <row r="6" spans="2:7">
      <c r="B6" s="22" t="s">
        <v>23</v>
      </c>
      <c r="C6" s="22" t="s">
        <v>29</v>
      </c>
      <c r="D6" s="24" t="s">
        <v>41</v>
      </c>
      <c r="E6" s="24" t="s">
        <v>47</v>
      </c>
    </row>
    <row r="7" spans="2:7">
      <c r="B7" s="22" t="s">
        <v>24</v>
      </c>
      <c r="C7" s="22" t="s">
        <v>30</v>
      </c>
      <c r="D7" s="24" t="s">
        <v>42</v>
      </c>
      <c r="E7" s="24" t="s">
        <v>48</v>
      </c>
    </row>
    <row r="8" spans="2:7">
      <c r="B8" s="22" t="s">
        <v>25</v>
      </c>
      <c r="C8" s="22" t="s">
        <v>31</v>
      </c>
      <c r="D8" s="24" t="s">
        <v>43</v>
      </c>
      <c r="E8" s="24" t="s">
        <v>49</v>
      </c>
    </row>
    <row r="9" spans="2:7">
      <c r="B9" s="22" t="s">
        <v>26</v>
      </c>
      <c r="C9" s="22" t="s">
        <v>32</v>
      </c>
      <c r="D9" s="24" t="s">
        <v>44</v>
      </c>
    </row>
    <row r="10" spans="2:7">
      <c r="C10" s="22" t="s">
        <v>33</v>
      </c>
    </row>
    <row r="11" spans="2:7">
      <c r="C11" s="22" t="s">
        <v>34</v>
      </c>
    </row>
    <row r="12" spans="2:7">
      <c r="C12" s="22" t="s">
        <v>35</v>
      </c>
    </row>
    <row r="13" spans="2:7">
      <c r="C13" s="22" t="s">
        <v>36</v>
      </c>
    </row>
    <row r="14" spans="2:7">
      <c r="C14" s="22" t="s">
        <v>37</v>
      </c>
    </row>
    <row r="15" spans="2:7">
      <c r="C15" s="22" t="s">
        <v>38</v>
      </c>
    </row>
    <row r="16" spans="2:7">
      <c r="C16" s="22" t="s">
        <v>26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부부용 보험 증권 정리표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2026-10-19T18:19:24Z</dcterms:created>
  <dcterms:modified xsi:type="dcterms:W3CDTF">2026-10-19T18:19:24Z</dcterms:modified>
</cp:coreProperties>
</file>