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정리표" sheetId="2" r:id="rId2"/>
    <sheet name="요약" sheetId="3" r:id="rId3"/>
    <sheet name="보장 체크" sheetId="4" r:id="rId4"/>
    <sheet name="설정" sheetId="5" r:id="rId5"/>
  </sheets>
  <definedNames>
    <definedName name="_xlnm._FilterDatabase" localSheetId="1" hidden="1">정리표!$A$5:$N$55</definedName>
    <definedName name="Cycles">'설정'!$D$4:$D$9</definedName>
    <definedName name="Kinds">'설정'!$C$4:$C$16</definedName>
    <definedName name="People">'설정'!$B$4:$B$9</definedName>
    <definedName name="_xlnm.Print_Titles" localSheetId="1">정리표!$5:$5</definedName>
    <definedName name="States">'설정'!$E$4:$E$8</definedName>
  </definedNames>
  <calcPr calcId="124519" fullCalcOnLoad="1"/>
</workbook>
</file>

<file path=xl/sharedStrings.xml><?xml version="1.0" encoding="utf-8"?>
<sst xmlns="http://schemas.openxmlformats.org/spreadsheetml/2006/main" count="130" uniqueCount="99">
  <si>
    <t>가족용 보험 증권 정리표</t>
  </si>
  <si>
    <t>“상담 전에 현재 가입 내용을 정리해요”</t>
  </si>
  <si>
    <t>매미 우는 오후 테마</t>
  </si>
  <si>
    <t>사용 순서</t>
  </si>
  <si>
    <t>1</t>
  </si>
  <si>
    <t>‘설정’ 시트에서 대상(사람) 이름을 우리 가족·사업장에 맞게 바꿔요.</t>
  </si>
  <si>
    <t>2</t>
  </si>
  <si>
    <t>‘정리표’에 가입한 보험을 한 줄에 하나씩 적어요. 보험료·납입주기를 적으면 월 환산 금액이 자동으로 나와요.</t>
  </si>
  <si>
    <t>3</t>
  </si>
  <si>
    <t>만기일을 적으면 ‘만기까지’ 칸이 자동으로 계산되고, 90일 이내는 노랗게, 30일 이내는 붉게 표시돼요.</t>
  </si>
  <si>
    <t>4</t>
  </si>
  <si>
    <t>‘요약’에서 대상별·종류별 월 보험료와 만기 일정을 한눈에 볼 수 있어요.</t>
  </si>
  <si>
    <t>5</t>
  </si>
  <si>
    <t>‘보장 체크’는 증권·약관을 보며 직접 표시하는 점검표예요.</t>
  </si>
  <si>
    <t>이 양식은 가입 내용을 스스로 정리하기 위한 것이며 보험 가입을 권유하거나 보장의 적정성을 판단하지 않아요. 정확한 내용은 증권과 약관, 가입한 보험회사에서 확인하세요.</t>
  </si>
  <si>
    <t>주민등록번호·계좌번호 같은 민감한 정보는 적지 않는 것을 권해요. 증권 번호 대신 ‘보관 위치’를 적어 두세요.</t>
  </si>
  <si>
    <t>우체국보험 상담 안내 · 자유롭게 고쳐 쓰세요</t>
  </si>
  <si>
    <t>설정 — 이름을 우리 집에 맞게 바꿔요</t>
  </si>
  <si>
    <t>대상(사람)</t>
  </si>
  <si>
    <t>보험 종류</t>
  </si>
  <si>
    <t>납입주기</t>
  </si>
  <si>
    <t>상태</t>
  </si>
  <si>
    <t>아빠</t>
  </si>
  <si>
    <t>엄마</t>
  </si>
  <si>
    <t>첫째</t>
  </si>
  <si>
    <t>둘째</t>
  </si>
  <si>
    <t>셋째</t>
  </si>
  <si>
    <t>기타</t>
  </si>
  <si>
    <t>종신</t>
  </si>
  <si>
    <t>정기</t>
  </si>
  <si>
    <t>건강·질병</t>
  </si>
  <si>
    <t>암</t>
  </si>
  <si>
    <t>상해</t>
  </si>
  <si>
    <t>실손의료</t>
  </si>
  <si>
    <t>연금</t>
  </si>
  <si>
    <t>저축성</t>
  </si>
  <si>
    <t>어린이</t>
  </si>
  <si>
    <t>자동차</t>
  </si>
  <si>
    <t>화재·재물</t>
  </si>
  <si>
    <t>배상책임</t>
  </si>
  <si>
    <t>월납</t>
  </si>
  <si>
    <t>3개월납</t>
  </si>
  <si>
    <t>6개월납</t>
  </si>
  <si>
    <t>연납</t>
  </si>
  <si>
    <t>일시납</t>
  </si>
  <si>
    <t>납입완료</t>
  </si>
  <si>
    <t>유지</t>
  </si>
  <si>
    <t>실효</t>
  </si>
  <si>
    <t>해지</t>
  </si>
  <si>
    <t>만기</t>
  </si>
  <si>
    <t>청약중</t>
  </si>
  <si>
    <t>유지 중인 건수</t>
  </si>
  <si>
    <t>월 환산 보험료 합계</t>
  </si>
  <si>
    <t>만기 30일 이내</t>
  </si>
  <si>
    <t>만기 90일 이내</t>
  </si>
  <si>
    <t>No</t>
  </si>
  <si>
    <t>대상</t>
  </si>
  <si>
    <t>보험회사</t>
  </si>
  <si>
    <t>상품명</t>
  </si>
  <si>
    <t>종류</t>
  </si>
  <si>
    <t>가입일</t>
  </si>
  <si>
    <t>만기일</t>
  </si>
  <si>
    <t>보험료(원)</t>
  </si>
  <si>
    <t>월 환산(원)</t>
  </si>
  <si>
    <t>만기까지</t>
  </si>
  <si>
    <t>주요 보장·특이사항</t>
  </si>
  <si>
    <t>보관 위치</t>
  </si>
  <si>
    <t>우체국</t>
  </si>
  <si>
    <t>예시 상품(지우고 쓰세요)</t>
  </si>
  <si>
    <t>예시</t>
  </si>
  <si>
    <t>서랍 파일 1번</t>
  </si>
  <si>
    <t>예시 보험사</t>
  </si>
  <si>
    <t>예시 상품 B</t>
  </si>
  <si>
    <t>스마트폰 사진</t>
  </si>
  <si>
    <t>예시 상품 C</t>
  </si>
  <si>
    <t>요약 (자동 계산)</t>
  </si>
  <si>
    <t>대상별</t>
  </si>
  <si>
    <t>건수</t>
  </si>
  <si>
    <t>비중</t>
  </si>
  <si>
    <t>합계</t>
  </si>
  <si>
    <t>종류별</t>
  </si>
  <si>
    <t>만기 일정</t>
  </si>
  <si>
    <t>30일 이내</t>
  </si>
  <si>
    <t>90일 이내</t>
  </si>
  <si>
    <t>180일 이내</t>
  </si>
  <si>
    <t>1년 이내</t>
  </si>
  <si>
    <t>이미 지난 만기</t>
  </si>
  <si>
    <t>보장 체크 — 증권·약관을 보며 직접 표시해요</t>
  </si>
  <si>
    <t>확인한 날</t>
  </si>
  <si>
    <t>보장 항목 \ 대상</t>
  </si>
  <si>
    <t>사망·재해</t>
  </si>
  <si>
    <t>질병 진단</t>
  </si>
  <si>
    <t>뇌·심장</t>
  </si>
  <si>
    <t>입원</t>
  </si>
  <si>
    <t>수술</t>
  </si>
  <si>
    <t>치매·간병</t>
  </si>
  <si>
    <t>연금·노후자금</t>
  </si>
  <si>
    <t>자녀·태아</t>
  </si>
  <si>
    <t>칸을 눌러 ‘가입 확인 / 확인 필요 / 해당 없음’ 중에서 고르세요. 보장의 적정성을 판단하는 표가 아니라, 내가 가진 보험을 점검하는 메모용 표예요.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</si>
</sst>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yyyy-mm-dd"/>
    <numFmt numFmtId="166" formatCode="#,##0&quot;일 남음&quot;;&quot;기간 지남&quot;"/>
    <numFmt numFmtId="167" formatCode="0%"/>
  </numFmts>
  <fonts count="13">
    <font>
      <sz val="11"/>
      <color theme="1"/>
      <name val="Calibri"/>
      <family val="2"/>
      <scheme val="minor"/>
    </font>
    <font>
      <b/>
      <sz val="22"/>
      <color rgb="FF314F22"/>
      <name val="맑은 고딕"/>
      <family val="2"/>
    </font>
    <font>
      <i/>
      <sz val="11"/>
      <color rgb="FF5D9640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314F22"/>
      <name val="맑은 고딕"/>
      <family val="2"/>
    </font>
    <font>
      <sz val="9"/>
      <color rgb="FF5D9640"/>
      <name val="맑은 고딕"/>
      <family val="2"/>
    </font>
    <font>
      <b/>
      <sz val="18"/>
      <color rgb="FF314F22"/>
      <name val="맑은 고딕"/>
      <family val="2"/>
    </font>
    <font>
      <sz val="9"/>
      <color rgb="FFFFFFFF"/>
      <name val="맑은 고딕"/>
      <family val="2"/>
    </font>
    <font>
      <b/>
      <sz val="16"/>
      <color rgb="FF314F22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5D9640"/>
        <bgColor indexed="64"/>
      </patternFill>
    </fill>
    <fill>
      <patternFill patternType="solid">
        <fgColor rgb="FFDCEED3"/>
        <bgColor indexed="64"/>
      </patternFill>
    </fill>
    <fill>
      <patternFill patternType="solid">
        <fgColor rgb="FF314F22"/>
        <bgColor indexed="64"/>
      </patternFill>
    </fill>
    <fill>
      <patternFill patternType="solid">
        <fgColor rgb="FFF3F9F1"/>
        <bgColor indexed="64"/>
      </patternFill>
    </fill>
  </fills>
  <borders count="5">
    <border>
      <left/>
      <right/>
      <top/>
      <bottom/>
      <diagonal/>
    </border>
    <border>
      <left style="thin">
        <color rgb="FFDCEED3"/>
      </left>
      <right style="thin">
        <color rgb="FFDCEED3"/>
      </right>
      <top style="thin">
        <color rgb="FFDCEED3"/>
      </top>
      <bottom style="thin">
        <color rgb="FFDCEED3"/>
      </bottom>
      <diagonal/>
    </border>
    <border>
      <left style="thin">
        <color rgb="FF314F22"/>
      </left>
      <right style="thin">
        <color rgb="FF314F22"/>
      </right>
      <top style="thin">
        <color rgb="FF314F22"/>
      </top>
      <bottom style="thin">
        <color rgb="FF314F22"/>
      </bottom>
      <diagonal/>
    </border>
    <border>
      <left style="thin">
        <color rgb="FF5D9640"/>
      </left>
      <right style="thin">
        <color rgb="FF5D9640"/>
      </right>
      <top style="thin">
        <color rgb="FF5D9640"/>
      </top>
      <bottom style="thin">
        <color rgb="FF5D9640"/>
      </bottom>
      <diagonal/>
    </border>
    <border>
      <left/>
      <right/>
      <top style="medium">
        <color rgb="FF5D9640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4" borderId="0" xfId="0" applyFont="1" applyFill="1" applyAlignment="1">
      <alignment horizontal="center" vertical="center"/>
    </xf>
    <xf numFmtId="1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165" fontId="5" fillId="5" borderId="3" xfId="0" applyNumberFormat="1" applyFont="1" applyFill="1" applyBorder="1" applyAlignment="1">
      <alignment horizontal="center" vertical="center"/>
    </xf>
    <xf numFmtId="164" fontId="5" fillId="5" borderId="3" xfId="0" applyNumberFormat="1" applyFont="1" applyFill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12" fillId="3" borderId="4" xfId="0" applyFont="1" applyFill="1" applyBorder="1" applyAlignment="1">
      <alignment vertical="center"/>
    </xf>
    <xf numFmtId="0" fontId="12" fillId="3" borderId="4" xfId="0" applyFont="1" applyFill="1" applyBorder="1" applyAlignment="1">
      <alignment horizontal="center" vertical="center"/>
    </xf>
    <xf numFmtId="164" fontId="12" fillId="3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4"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  <dxf>
      <font>
        <color rgb="FF999999"/>
      </font>
    </dxf>
    <dxf>
      <font>
        <b/>
        <color rgb="FF314F22"/>
      </font>
      <fill>
        <patternFill>
          <bgColor rgb="FFDCEED3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14F22"/>
                </a:solidFill>
                <a:latin typeface="맑은 고딕"/>
              </a:defRPr>
            </a:pPr>
            <a:r>
              <a:rPr lang="en-US" sz="1100" baseline="0">
                <a:solidFill>
                  <a:srgbClr val="314F22"/>
                </a:solidFill>
                <a:latin typeface="맑은 고딕"/>
              </a:rPr>
              <a:t>보험 종류별 월 환산 보험료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종류별 월 환산</c:v>
          </c:tx>
          <c:dPt>
            <c:idx val="0"/>
            <c:spPr>
              <a:solidFill>
                <a:srgbClr val="3E642B"/>
              </a:solidFill>
            </c:spPr>
          </c:dPt>
          <c:dPt>
            <c:idx val="1"/>
            <c:spPr>
              <a:solidFill>
                <a:srgbClr val="3A7035"/>
              </a:solidFill>
            </c:spPr>
          </c:dPt>
          <c:dPt>
            <c:idx val="2"/>
            <c:spPr>
              <a:solidFill>
                <a:srgbClr val="388343"/>
              </a:solidFill>
            </c:spPr>
          </c:dPt>
          <c:dPt>
            <c:idx val="3"/>
            <c:spPr>
              <a:solidFill>
                <a:srgbClr val="5C8E43"/>
              </a:solidFill>
            </c:spPr>
          </c:dPt>
          <c:dPt>
            <c:idx val="4"/>
            <c:spPr>
              <a:solidFill>
                <a:srgbClr val="4EA245"/>
              </a:solidFill>
            </c:spPr>
          </c:dPt>
          <c:dPt>
            <c:idx val="5"/>
            <c:spPr>
              <a:solidFill>
                <a:srgbClr val="51AC5E"/>
              </a:solidFill>
            </c:spPr>
          </c:dPt>
          <c:dPt>
            <c:idx val="6"/>
            <c:spPr>
              <a:solidFill>
                <a:srgbClr val="7AB95B"/>
              </a:solidFill>
            </c:spPr>
          </c:dPt>
          <c:dPt>
            <c:idx val="7"/>
            <c:spPr>
              <a:solidFill>
                <a:srgbClr val="76BB6E"/>
              </a:solidFill>
            </c:spPr>
          </c:dPt>
          <c:dPt>
            <c:idx val="8"/>
            <c:spPr>
              <a:solidFill>
                <a:srgbClr val="7AC684"/>
              </a:solidFill>
            </c:spPr>
          </c:dPt>
          <c:dPt>
            <c:idx val="9"/>
            <c:spPr>
              <a:solidFill>
                <a:srgbClr val="A1C98C"/>
              </a:solidFill>
            </c:spPr>
          </c:dPt>
          <c:dPt>
            <c:idx val="10"/>
            <c:spPr>
              <a:solidFill>
                <a:srgbClr val="9ED399"/>
              </a:solidFill>
            </c:spPr>
          </c:dPt>
          <c:dPt>
            <c:idx val="11"/>
            <c:spPr>
              <a:solidFill>
                <a:srgbClr val="ABD7B1"/>
              </a:solidFill>
            </c:spPr>
          </c:dPt>
          <c:dPt>
            <c:idx val="12"/>
            <c:spPr>
              <a:solidFill>
                <a:srgbClr val="C5E0B8"/>
              </a:solidFill>
            </c:spPr>
          </c:dPt>
          <c:cat>
            <c:numRef>
              <c:f>'요약'!$G$4:$G$16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cat>
          <c:val>
            <c:numRef>
              <c:f>'요약'!$I$4:$I$16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CEED3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14F22"/>
                </a:solidFill>
                <a:latin typeface="맑은 고딕"/>
              </a:defRPr>
            </a:pPr>
            <a:r>
              <a:rPr lang="en-US" sz="1100" baseline="0">
                <a:solidFill>
                  <a:srgbClr val="314F22"/>
                </a:solidFill>
                <a:latin typeface="맑은 고딕"/>
              </a:rPr>
              <a:t>대상별 월 환산 보험료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대상별 월 환산</c:v>
          </c:tx>
          <c:spPr>
            <a:solidFill>
              <a:srgbClr val="4B3D8F"/>
            </a:solidFill>
          </c:spPr>
          <c:cat>
            <c:numRef>
              <c:f>'요약'!$B$4:$B$9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cat>
          <c:val>
            <c:numRef>
              <c:f>'요약'!$D$4:$D$9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spPr>
    <a:ln>
      <a:solidFill>
        <a:srgbClr val="DCEED3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19</xdr:col>
      <xdr:colOff>76200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19</xdr:col>
      <xdr:colOff>76200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5D9640"/>
    <pageSetUpPr fitToPage="1"/>
  </sheetPr>
  <dimension ref="A2:C16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2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4" spans="2:3" ht="28" customHeight="1">
      <c r="B14" s="8" t="s">
        <v>15</v>
      </c>
      <c r="C14" s="8"/>
    </row>
    <row r="16" spans="2:3">
      <c r="B16" s="9" t="s">
        <v>16</v>
      </c>
      <c r="C16" s="9"/>
    </row>
  </sheetData>
  <mergeCells count="6">
    <mergeCell ref="B2:C2"/>
    <mergeCell ref="B3:C3"/>
    <mergeCell ref="B4:C4"/>
    <mergeCell ref="B13:C13"/>
    <mergeCell ref="B14:C14"/>
    <mergeCell ref="B16:C16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D9640"/>
    <pageSetUpPr fitToPage="1"/>
  </sheetPr>
  <dimension ref="A1:N55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5"/>
  <cols>
    <col min="1" max="1" width="5.7109375" customWidth="1"/>
    <col min="2" max="2" width="12.7109375" customWidth="1"/>
    <col min="3" max="3" width="14.7109375" customWidth="1"/>
    <col min="4" max="4" width="24.7109375" customWidth="1"/>
    <col min="5" max="5" width="11.7109375" customWidth="1"/>
    <col min="6" max="7" width="12.7109375" customWidth="1"/>
    <col min="8" max="8" width="10.7109375" customWidth="1"/>
    <col min="9" max="10" width="12.7109375" customWidth="1"/>
    <col min="11" max="11" width="8.7109375" customWidth="1"/>
    <col min="12" max="12" width="14.7109375" customWidth="1"/>
    <col min="13" max="13" width="30.7109375" customWidth="1"/>
    <col min="14" max="14" width="20.7109375" customWidth="1"/>
  </cols>
  <sheetData>
    <row r="1" spans="1:1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B3" s="11" t="s">
        <v>51</v>
      </c>
      <c r="C3" s="11"/>
      <c r="D3" s="11"/>
      <c r="E3" s="11" t="s">
        <v>52</v>
      </c>
      <c r="F3" s="11"/>
      <c r="G3" s="11"/>
      <c r="H3" s="11" t="s">
        <v>53</v>
      </c>
      <c r="I3" s="11"/>
      <c r="J3" s="11"/>
      <c r="K3" s="11" t="s">
        <v>54</v>
      </c>
      <c r="L3" s="11"/>
      <c r="M3" s="11"/>
    </row>
    <row r="4" spans="1:14">
      <c r="B4" s="12">
        <f>COUNTIF($K$6:$K$55,"유지")</f>
        <v>0</v>
      </c>
      <c r="C4" s="12"/>
      <c r="D4" s="12"/>
      <c r="E4" s="13">
        <f>SUM($J$6:$J$55)</f>
        <v>0</v>
      </c>
      <c r="F4" s="13"/>
      <c r="G4" s="13"/>
      <c r="H4" s="12">
        <f>COUNTIFS($L$6:$L$55,"&gt;=0",$L$6:$L$55,"&lt;=30")</f>
        <v>0</v>
      </c>
      <c r="I4" s="12"/>
      <c r="J4" s="12"/>
      <c r="K4" s="12">
        <f>COUNTIFS($L$6:$L$55,"&gt;=0",$L$6:$L$55,"&lt;=90")</f>
        <v>0</v>
      </c>
      <c r="L4" s="12"/>
      <c r="M4" s="12"/>
    </row>
    <row r="5" spans="1:14" ht="28" customHeight="1">
      <c r="A5" s="14" t="s">
        <v>55</v>
      </c>
      <c r="B5" s="14" t="s">
        <v>56</v>
      </c>
      <c r="C5" s="14" t="s">
        <v>57</v>
      </c>
      <c r="D5" s="14" t="s">
        <v>58</v>
      </c>
      <c r="E5" s="14" t="s">
        <v>59</v>
      </c>
      <c r="F5" s="14" t="s">
        <v>60</v>
      </c>
      <c r="G5" s="14" t="s">
        <v>61</v>
      </c>
      <c r="H5" s="14" t="s">
        <v>20</v>
      </c>
      <c r="I5" s="14" t="s">
        <v>62</v>
      </c>
      <c r="J5" s="14" t="s">
        <v>63</v>
      </c>
      <c r="K5" s="14" t="s">
        <v>21</v>
      </c>
      <c r="L5" s="14" t="s">
        <v>64</v>
      </c>
      <c r="M5" s="14" t="s">
        <v>65</v>
      </c>
      <c r="N5" s="14" t="s">
        <v>66</v>
      </c>
    </row>
    <row r="6" spans="1:14">
      <c r="A6" s="15">
        <v>1</v>
      </c>
      <c r="B6" s="16" t="s">
        <v>22</v>
      </c>
      <c r="C6" s="17" t="s">
        <v>67</v>
      </c>
      <c r="D6" s="17" t="s">
        <v>68</v>
      </c>
      <c r="E6" s="16" t="s">
        <v>30</v>
      </c>
      <c r="F6" s="18">
        <v>44635</v>
      </c>
      <c r="G6" s="18">
        <v>51940</v>
      </c>
      <c r="H6" s="16" t="s">
        <v>40</v>
      </c>
      <c r="I6" s="19">
        <v>52000</v>
      </c>
      <c r="J6" s="20">
        <f>IF(OR(I6="",K6&lt;&gt;"유지"),0,IF(H6="월납",I6,IF(H6="3개월납",I6/3,IF(H6="6개월납",I6/6,IF(H6="연납",I6/12,0)))))</f>
        <v>0</v>
      </c>
      <c r="K6" s="16" t="s">
        <v>46</v>
      </c>
      <c r="L6" s="21">
        <f>IF(OR(G6="",K6&lt;&gt;"유지"),"",G6-TODAY())</f>
        <v>0</v>
      </c>
      <c r="M6" s="22" t="s">
        <v>69</v>
      </c>
      <c r="N6" s="22" t="s">
        <v>70</v>
      </c>
    </row>
    <row r="7" spans="1:14">
      <c r="A7" s="15">
        <v>2</v>
      </c>
      <c r="B7" s="16" t="s">
        <v>23</v>
      </c>
      <c r="C7" s="17" t="s">
        <v>71</v>
      </c>
      <c r="D7" s="17" t="s">
        <v>72</v>
      </c>
      <c r="E7" s="16" t="s">
        <v>33</v>
      </c>
      <c r="F7" s="18">
        <v>45108</v>
      </c>
      <c r="G7" s="18">
        <v>46387</v>
      </c>
      <c r="H7" s="16" t="s">
        <v>40</v>
      </c>
      <c r="I7" s="19">
        <v>18000</v>
      </c>
      <c r="J7" s="20">
        <f>IF(OR(I7="",K7&lt;&gt;"유지"),0,IF(H7="월납",I7,IF(H7="3개월납",I7/3,IF(H7="6개월납",I7/6,IF(H7="연납",I7/12,0)))))</f>
        <v>0</v>
      </c>
      <c r="K7" s="16" t="s">
        <v>46</v>
      </c>
      <c r="L7" s="21">
        <f>IF(OR(G7="",K7&lt;&gt;"유지"),"",G7-TODAY())</f>
        <v>0</v>
      </c>
      <c r="M7" s="22" t="s">
        <v>69</v>
      </c>
      <c r="N7" s="22" t="s">
        <v>73</v>
      </c>
    </row>
    <row r="8" spans="1:14">
      <c r="A8" s="15">
        <v>3</v>
      </c>
      <c r="B8" s="16" t="s">
        <v>24</v>
      </c>
      <c r="C8" s="17" t="s">
        <v>67</v>
      </c>
      <c r="D8" s="17" t="s">
        <v>74</v>
      </c>
      <c r="E8" s="16" t="s">
        <v>34</v>
      </c>
      <c r="F8" s="18">
        <v>43789</v>
      </c>
      <c r="G8" s="18">
        <v>54747</v>
      </c>
      <c r="H8" s="16" t="s">
        <v>43</v>
      </c>
      <c r="I8" s="19">
        <v>600000</v>
      </c>
      <c r="J8" s="20">
        <f>IF(OR(I8="",K8&lt;&gt;"유지"),0,IF(H8="월납",I8,IF(H8="3개월납",I8/3,IF(H8="6개월납",I8/6,IF(H8="연납",I8/12,0)))))</f>
        <v>0</v>
      </c>
      <c r="K8" s="16" t="s">
        <v>46</v>
      </c>
      <c r="L8" s="21">
        <f>IF(OR(G8="",K8&lt;&gt;"유지"),"",G8-TODAY())</f>
        <v>0</v>
      </c>
      <c r="M8" s="22" t="s">
        <v>69</v>
      </c>
      <c r="N8" s="22"/>
    </row>
    <row r="9" spans="1:14">
      <c r="A9" s="15">
        <v>4</v>
      </c>
      <c r="B9" s="16"/>
      <c r="C9" s="17"/>
      <c r="D9" s="17"/>
      <c r="E9" s="16"/>
      <c r="F9" s="18"/>
      <c r="G9" s="18"/>
      <c r="H9" s="16"/>
      <c r="I9" s="19"/>
      <c r="J9" s="20">
        <f>IF(OR(I9="",K9&lt;&gt;"유지"),0,IF(H9="월납",I9,IF(H9="3개월납",I9/3,IF(H9="6개월납",I9/6,IF(H9="연납",I9/12,0)))))</f>
        <v>0</v>
      </c>
      <c r="K9" s="16"/>
      <c r="L9" s="21">
        <f>IF(OR(G9="",K9&lt;&gt;"유지"),"",G9-TODAY())</f>
        <v>0</v>
      </c>
      <c r="M9" s="22"/>
      <c r="N9" s="22"/>
    </row>
    <row r="10" spans="1:14">
      <c r="A10" s="15">
        <v>5</v>
      </c>
      <c r="B10" s="16"/>
      <c r="C10" s="17"/>
      <c r="D10" s="17"/>
      <c r="E10" s="16"/>
      <c r="F10" s="18"/>
      <c r="G10" s="18"/>
      <c r="H10" s="16"/>
      <c r="I10" s="19"/>
      <c r="J10" s="20">
        <f>IF(OR(I10="",K10&lt;&gt;"유지"),0,IF(H10="월납",I10,IF(H10="3개월납",I10/3,IF(H10="6개월납",I10/6,IF(H10="연납",I10/12,0)))))</f>
        <v>0</v>
      </c>
      <c r="K10" s="16"/>
      <c r="L10" s="21">
        <f>IF(OR(G10="",K10&lt;&gt;"유지"),"",G10-TODAY())</f>
        <v>0</v>
      </c>
      <c r="M10" s="22"/>
      <c r="N10" s="22"/>
    </row>
    <row r="11" spans="1:14">
      <c r="A11" s="15">
        <v>6</v>
      </c>
      <c r="B11" s="16"/>
      <c r="C11" s="17"/>
      <c r="D11" s="17"/>
      <c r="E11" s="16"/>
      <c r="F11" s="18"/>
      <c r="G11" s="18"/>
      <c r="H11" s="16"/>
      <c r="I11" s="19"/>
      <c r="J11" s="20">
        <f>IF(OR(I11="",K11&lt;&gt;"유지"),0,IF(H11="월납",I11,IF(H11="3개월납",I11/3,IF(H11="6개월납",I11/6,IF(H11="연납",I11/12,0)))))</f>
        <v>0</v>
      </c>
      <c r="K11" s="16"/>
      <c r="L11" s="21">
        <f>IF(OR(G11="",K11&lt;&gt;"유지"),"",G11-TODAY())</f>
        <v>0</v>
      </c>
      <c r="M11" s="22"/>
      <c r="N11" s="22"/>
    </row>
    <row r="12" spans="1:14">
      <c r="A12" s="15">
        <v>7</v>
      </c>
      <c r="B12" s="16"/>
      <c r="C12" s="17"/>
      <c r="D12" s="17"/>
      <c r="E12" s="16"/>
      <c r="F12" s="18"/>
      <c r="G12" s="18"/>
      <c r="H12" s="16"/>
      <c r="I12" s="19"/>
      <c r="J12" s="20">
        <f>IF(OR(I12="",K12&lt;&gt;"유지"),0,IF(H12="월납",I12,IF(H12="3개월납",I12/3,IF(H12="6개월납",I12/6,IF(H12="연납",I12/12,0)))))</f>
        <v>0</v>
      </c>
      <c r="K12" s="16"/>
      <c r="L12" s="21">
        <f>IF(OR(G12="",K12&lt;&gt;"유지"),"",G12-TODAY())</f>
        <v>0</v>
      </c>
      <c r="M12" s="22"/>
      <c r="N12" s="22"/>
    </row>
    <row r="13" spans="1:14">
      <c r="A13" s="15">
        <v>8</v>
      </c>
      <c r="B13" s="16"/>
      <c r="C13" s="17"/>
      <c r="D13" s="17"/>
      <c r="E13" s="16"/>
      <c r="F13" s="18"/>
      <c r="G13" s="18"/>
      <c r="H13" s="16"/>
      <c r="I13" s="19"/>
      <c r="J13" s="20">
        <f>IF(OR(I13="",K13&lt;&gt;"유지"),0,IF(H13="월납",I13,IF(H13="3개월납",I13/3,IF(H13="6개월납",I13/6,IF(H13="연납",I13/12,0)))))</f>
        <v>0</v>
      </c>
      <c r="K13" s="16"/>
      <c r="L13" s="21">
        <f>IF(OR(G13="",K13&lt;&gt;"유지"),"",G13-TODAY())</f>
        <v>0</v>
      </c>
      <c r="M13" s="22"/>
      <c r="N13" s="22"/>
    </row>
    <row r="14" spans="1:14">
      <c r="A14" s="15">
        <v>9</v>
      </c>
      <c r="B14" s="16"/>
      <c r="C14" s="17"/>
      <c r="D14" s="17"/>
      <c r="E14" s="16"/>
      <c r="F14" s="18"/>
      <c r="G14" s="18"/>
      <c r="H14" s="16"/>
      <c r="I14" s="19"/>
      <c r="J14" s="20">
        <f>IF(OR(I14="",K14&lt;&gt;"유지"),0,IF(H14="월납",I14,IF(H14="3개월납",I14/3,IF(H14="6개월납",I14/6,IF(H14="연납",I14/12,0)))))</f>
        <v>0</v>
      </c>
      <c r="K14" s="16"/>
      <c r="L14" s="21">
        <f>IF(OR(G14="",K14&lt;&gt;"유지"),"",G14-TODAY())</f>
        <v>0</v>
      </c>
      <c r="M14" s="22"/>
      <c r="N14" s="22"/>
    </row>
    <row r="15" spans="1:14">
      <c r="A15" s="15">
        <v>10</v>
      </c>
      <c r="B15" s="16"/>
      <c r="C15" s="17"/>
      <c r="D15" s="17"/>
      <c r="E15" s="16"/>
      <c r="F15" s="18"/>
      <c r="G15" s="18"/>
      <c r="H15" s="16"/>
      <c r="I15" s="19"/>
      <c r="J15" s="20">
        <f>IF(OR(I15="",K15&lt;&gt;"유지"),0,IF(H15="월납",I15,IF(H15="3개월납",I15/3,IF(H15="6개월납",I15/6,IF(H15="연납",I15/12,0)))))</f>
        <v>0</v>
      </c>
      <c r="K15" s="16"/>
      <c r="L15" s="21">
        <f>IF(OR(G15="",K15&lt;&gt;"유지"),"",G15-TODAY())</f>
        <v>0</v>
      </c>
      <c r="M15" s="22"/>
      <c r="N15" s="22"/>
    </row>
    <row r="16" spans="1:14">
      <c r="A16" s="15">
        <v>11</v>
      </c>
      <c r="B16" s="16"/>
      <c r="C16" s="17"/>
      <c r="D16" s="17"/>
      <c r="E16" s="16"/>
      <c r="F16" s="18"/>
      <c r="G16" s="18"/>
      <c r="H16" s="16"/>
      <c r="I16" s="19"/>
      <c r="J16" s="20">
        <f>IF(OR(I16="",K16&lt;&gt;"유지"),0,IF(H16="월납",I16,IF(H16="3개월납",I16/3,IF(H16="6개월납",I16/6,IF(H16="연납",I16/12,0)))))</f>
        <v>0</v>
      </c>
      <c r="K16" s="16"/>
      <c r="L16" s="21">
        <f>IF(OR(G16="",K16&lt;&gt;"유지"),"",G16-TODAY())</f>
        <v>0</v>
      </c>
      <c r="M16" s="22"/>
      <c r="N16" s="22"/>
    </row>
    <row r="17" spans="1:14">
      <c r="A17" s="15">
        <v>12</v>
      </c>
      <c r="B17" s="16"/>
      <c r="C17" s="17"/>
      <c r="D17" s="17"/>
      <c r="E17" s="16"/>
      <c r="F17" s="18"/>
      <c r="G17" s="18"/>
      <c r="H17" s="16"/>
      <c r="I17" s="19"/>
      <c r="J17" s="20">
        <f>IF(OR(I17="",K17&lt;&gt;"유지"),0,IF(H17="월납",I17,IF(H17="3개월납",I17/3,IF(H17="6개월납",I17/6,IF(H17="연납",I17/12,0)))))</f>
        <v>0</v>
      </c>
      <c r="K17" s="16"/>
      <c r="L17" s="21">
        <f>IF(OR(G17="",K17&lt;&gt;"유지"),"",G17-TODAY())</f>
        <v>0</v>
      </c>
      <c r="M17" s="22"/>
      <c r="N17" s="22"/>
    </row>
    <row r="18" spans="1:14">
      <c r="A18" s="15">
        <v>13</v>
      </c>
      <c r="B18" s="16"/>
      <c r="C18" s="17"/>
      <c r="D18" s="17"/>
      <c r="E18" s="16"/>
      <c r="F18" s="18"/>
      <c r="G18" s="18"/>
      <c r="H18" s="16"/>
      <c r="I18" s="19"/>
      <c r="J18" s="20">
        <f>IF(OR(I18="",K18&lt;&gt;"유지"),0,IF(H18="월납",I18,IF(H18="3개월납",I18/3,IF(H18="6개월납",I18/6,IF(H18="연납",I18/12,0)))))</f>
        <v>0</v>
      </c>
      <c r="K18" s="16"/>
      <c r="L18" s="21">
        <f>IF(OR(G18="",K18&lt;&gt;"유지"),"",G18-TODAY())</f>
        <v>0</v>
      </c>
      <c r="M18" s="22"/>
      <c r="N18" s="22"/>
    </row>
    <row r="19" spans="1:14">
      <c r="A19" s="15">
        <v>14</v>
      </c>
      <c r="B19" s="16"/>
      <c r="C19" s="17"/>
      <c r="D19" s="17"/>
      <c r="E19" s="16"/>
      <c r="F19" s="18"/>
      <c r="G19" s="18"/>
      <c r="H19" s="16"/>
      <c r="I19" s="19"/>
      <c r="J19" s="20">
        <f>IF(OR(I19="",K19&lt;&gt;"유지"),0,IF(H19="월납",I19,IF(H19="3개월납",I19/3,IF(H19="6개월납",I19/6,IF(H19="연납",I19/12,0)))))</f>
        <v>0</v>
      </c>
      <c r="K19" s="16"/>
      <c r="L19" s="21">
        <f>IF(OR(G19="",K19&lt;&gt;"유지"),"",G19-TODAY())</f>
        <v>0</v>
      </c>
      <c r="M19" s="22"/>
      <c r="N19" s="22"/>
    </row>
    <row r="20" spans="1:14">
      <c r="A20" s="15">
        <v>15</v>
      </c>
      <c r="B20" s="16"/>
      <c r="C20" s="17"/>
      <c r="D20" s="17"/>
      <c r="E20" s="16"/>
      <c r="F20" s="18"/>
      <c r="G20" s="18"/>
      <c r="H20" s="16"/>
      <c r="I20" s="19"/>
      <c r="J20" s="20">
        <f>IF(OR(I20="",K20&lt;&gt;"유지"),0,IF(H20="월납",I20,IF(H20="3개월납",I20/3,IF(H20="6개월납",I20/6,IF(H20="연납",I20/12,0)))))</f>
        <v>0</v>
      </c>
      <c r="K20" s="16"/>
      <c r="L20" s="21">
        <f>IF(OR(G20="",K20&lt;&gt;"유지"),"",G20-TODAY())</f>
        <v>0</v>
      </c>
      <c r="M20" s="22"/>
      <c r="N20" s="22"/>
    </row>
    <row r="21" spans="1:14">
      <c r="A21" s="15">
        <v>16</v>
      </c>
      <c r="B21" s="16"/>
      <c r="C21" s="17"/>
      <c r="D21" s="17"/>
      <c r="E21" s="16"/>
      <c r="F21" s="18"/>
      <c r="G21" s="18"/>
      <c r="H21" s="16"/>
      <c r="I21" s="19"/>
      <c r="J21" s="20">
        <f>IF(OR(I21="",K21&lt;&gt;"유지"),0,IF(H21="월납",I21,IF(H21="3개월납",I21/3,IF(H21="6개월납",I21/6,IF(H21="연납",I21/12,0)))))</f>
        <v>0</v>
      </c>
      <c r="K21" s="16"/>
      <c r="L21" s="21">
        <f>IF(OR(G21="",K21&lt;&gt;"유지"),"",G21-TODAY())</f>
        <v>0</v>
      </c>
      <c r="M21" s="22"/>
      <c r="N21" s="22"/>
    </row>
    <row r="22" spans="1:14">
      <c r="A22" s="15">
        <v>17</v>
      </c>
      <c r="B22" s="16"/>
      <c r="C22" s="17"/>
      <c r="D22" s="17"/>
      <c r="E22" s="16"/>
      <c r="F22" s="18"/>
      <c r="G22" s="18"/>
      <c r="H22" s="16"/>
      <c r="I22" s="19"/>
      <c r="J22" s="20">
        <f>IF(OR(I22="",K22&lt;&gt;"유지"),0,IF(H22="월납",I22,IF(H22="3개월납",I22/3,IF(H22="6개월납",I22/6,IF(H22="연납",I22/12,0)))))</f>
        <v>0</v>
      </c>
      <c r="K22" s="16"/>
      <c r="L22" s="21">
        <f>IF(OR(G22="",K22&lt;&gt;"유지"),"",G22-TODAY())</f>
        <v>0</v>
      </c>
      <c r="M22" s="22"/>
      <c r="N22" s="22"/>
    </row>
    <row r="23" spans="1:14">
      <c r="A23" s="15">
        <v>18</v>
      </c>
      <c r="B23" s="16"/>
      <c r="C23" s="17"/>
      <c r="D23" s="17"/>
      <c r="E23" s="16"/>
      <c r="F23" s="18"/>
      <c r="G23" s="18"/>
      <c r="H23" s="16"/>
      <c r="I23" s="19"/>
      <c r="J23" s="20">
        <f>IF(OR(I23="",K23&lt;&gt;"유지"),0,IF(H23="월납",I23,IF(H23="3개월납",I23/3,IF(H23="6개월납",I23/6,IF(H23="연납",I23/12,0)))))</f>
        <v>0</v>
      </c>
      <c r="K23" s="16"/>
      <c r="L23" s="21">
        <f>IF(OR(G23="",K23&lt;&gt;"유지"),"",G23-TODAY())</f>
        <v>0</v>
      </c>
      <c r="M23" s="22"/>
      <c r="N23" s="22"/>
    </row>
    <row r="24" spans="1:14">
      <c r="A24" s="15">
        <v>19</v>
      </c>
      <c r="B24" s="16"/>
      <c r="C24" s="17"/>
      <c r="D24" s="17"/>
      <c r="E24" s="16"/>
      <c r="F24" s="18"/>
      <c r="G24" s="18"/>
      <c r="H24" s="16"/>
      <c r="I24" s="19"/>
      <c r="J24" s="20">
        <f>IF(OR(I24="",K24&lt;&gt;"유지"),0,IF(H24="월납",I24,IF(H24="3개월납",I24/3,IF(H24="6개월납",I24/6,IF(H24="연납",I24/12,0)))))</f>
        <v>0</v>
      </c>
      <c r="K24" s="16"/>
      <c r="L24" s="21">
        <f>IF(OR(G24="",K24&lt;&gt;"유지"),"",G24-TODAY())</f>
        <v>0</v>
      </c>
      <c r="M24" s="22"/>
      <c r="N24" s="22"/>
    </row>
    <row r="25" spans="1:14">
      <c r="A25" s="15">
        <v>20</v>
      </c>
      <c r="B25" s="16"/>
      <c r="C25" s="17"/>
      <c r="D25" s="17"/>
      <c r="E25" s="16"/>
      <c r="F25" s="18"/>
      <c r="G25" s="18"/>
      <c r="H25" s="16"/>
      <c r="I25" s="19"/>
      <c r="J25" s="20">
        <f>IF(OR(I25="",K25&lt;&gt;"유지"),0,IF(H25="월납",I25,IF(H25="3개월납",I25/3,IF(H25="6개월납",I25/6,IF(H25="연납",I25/12,0)))))</f>
        <v>0</v>
      </c>
      <c r="K25" s="16"/>
      <c r="L25" s="21">
        <f>IF(OR(G25="",K25&lt;&gt;"유지"),"",G25-TODAY())</f>
        <v>0</v>
      </c>
      <c r="M25" s="22"/>
      <c r="N25" s="22"/>
    </row>
    <row r="26" spans="1:14">
      <c r="A26" s="15">
        <v>21</v>
      </c>
      <c r="B26" s="16"/>
      <c r="C26" s="17"/>
      <c r="D26" s="17"/>
      <c r="E26" s="16"/>
      <c r="F26" s="18"/>
      <c r="G26" s="18"/>
      <c r="H26" s="16"/>
      <c r="I26" s="19"/>
      <c r="J26" s="20">
        <f>IF(OR(I26="",K26&lt;&gt;"유지"),0,IF(H26="월납",I26,IF(H26="3개월납",I26/3,IF(H26="6개월납",I26/6,IF(H26="연납",I26/12,0)))))</f>
        <v>0</v>
      </c>
      <c r="K26" s="16"/>
      <c r="L26" s="21">
        <f>IF(OR(G26="",K26&lt;&gt;"유지"),"",G26-TODAY())</f>
        <v>0</v>
      </c>
      <c r="M26" s="22"/>
      <c r="N26" s="22"/>
    </row>
    <row r="27" spans="1:14">
      <c r="A27" s="15">
        <v>22</v>
      </c>
      <c r="B27" s="16"/>
      <c r="C27" s="17"/>
      <c r="D27" s="17"/>
      <c r="E27" s="16"/>
      <c r="F27" s="18"/>
      <c r="G27" s="18"/>
      <c r="H27" s="16"/>
      <c r="I27" s="19"/>
      <c r="J27" s="20">
        <f>IF(OR(I27="",K27&lt;&gt;"유지"),0,IF(H27="월납",I27,IF(H27="3개월납",I27/3,IF(H27="6개월납",I27/6,IF(H27="연납",I27/12,0)))))</f>
        <v>0</v>
      </c>
      <c r="K27" s="16"/>
      <c r="L27" s="21">
        <f>IF(OR(G27="",K27&lt;&gt;"유지"),"",G27-TODAY())</f>
        <v>0</v>
      </c>
      <c r="M27" s="22"/>
      <c r="N27" s="22"/>
    </row>
    <row r="28" spans="1:14">
      <c r="A28" s="15">
        <v>23</v>
      </c>
      <c r="B28" s="16"/>
      <c r="C28" s="17"/>
      <c r="D28" s="17"/>
      <c r="E28" s="16"/>
      <c r="F28" s="18"/>
      <c r="G28" s="18"/>
      <c r="H28" s="16"/>
      <c r="I28" s="19"/>
      <c r="J28" s="20">
        <f>IF(OR(I28="",K28&lt;&gt;"유지"),0,IF(H28="월납",I28,IF(H28="3개월납",I28/3,IF(H28="6개월납",I28/6,IF(H28="연납",I28/12,0)))))</f>
        <v>0</v>
      </c>
      <c r="K28" s="16"/>
      <c r="L28" s="21">
        <f>IF(OR(G28="",K28&lt;&gt;"유지"),"",G28-TODAY())</f>
        <v>0</v>
      </c>
      <c r="M28" s="22"/>
      <c r="N28" s="22"/>
    </row>
    <row r="29" spans="1:14">
      <c r="A29" s="15">
        <v>24</v>
      </c>
      <c r="B29" s="16"/>
      <c r="C29" s="17"/>
      <c r="D29" s="17"/>
      <c r="E29" s="16"/>
      <c r="F29" s="18"/>
      <c r="G29" s="18"/>
      <c r="H29" s="16"/>
      <c r="I29" s="19"/>
      <c r="J29" s="20">
        <f>IF(OR(I29="",K29&lt;&gt;"유지"),0,IF(H29="월납",I29,IF(H29="3개월납",I29/3,IF(H29="6개월납",I29/6,IF(H29="연납",I29/12,0)))))</f>
        <v>0</v>
      </c>
      <c r="K29" s="16"/>
      <c r="L29" s="21">
        <f>IF(OR(G29="",K29&lt;&gt;"유지"),"",G29-TODAY())</f>
        <v>0</v>
      </c>
      <c r="M29" s="22"/>
      <c r="N29" s="22"/>
    </row>
    <row r="30" spans="1:14">
      <c r="A30" s="15">
        <v>25</v>
      </c>
      <c r="B30" s="16"/>
      <c r="C30" s="17"/>
      <c r="D30" s="17"/>
      <c r="E30" s="16"/>
      <c r="F30" s="18"/>
      <c r="G30" s="18"/>
      <c r="H30" s="16"/>
      <c r="I30" s="19"/>
      <c r="J30" s="20">
        <f>IF(OR(I30="",K30&lt;&gt;"유지"),0,IF(H30="월납",I30,IF(H30="3개월납",I30/3,IF(H30="6개월납",I30/6,IF(H30="연납",I30/12,0)))))</f>
        <v>0</v>
      </c>
      <c r="K30" s="16"/>
      <c r="L30" s="21">
        <f>IF(OR(G30="",K30&lt;&gt;"유지"),"",G30-TODAY())</f>
        <v>0</v>
      </c>
      <c r="M30" s="22"/>
      <c r="N30" s="22"/>
    </row>
    <row r="31" spans="1:14">
      <c r="A31" s="15">
        <v>26</v>
      </c>
      <c r="B31" s="16"/>
      <c r="C31" s="17"/>
      <c r="D31" s="17"/>
      <c r="E31" s="16"/>
      <c r="F31" s="18"/>
      <c r="G31" s="18"/>
      <c r="H31" s="16"/>
      <c r="I31" s="19"/>
      <c r="J31" s="20">
        <f>IF(OR(I31="",K31&lt;&gt;"유지"),0,IF(H31="월납",I31,IF(H31="3개월납",I31/3,IF(H31="6개월납",I31/6,IF(H31="연납",I31/12,0)))))</f>
        <v>0</v>
      </c>
      <c r="K31" s="16"/>
      <c r="L31" s="21">
        <f>IF(OR(G31="",K31&lt;&gt;"유지"),"",G31-TODAY())</f>
        <v>0</v>
      </c>
      <c r="M31" s="22"/>
      <c r="N31" s="22"/>
    </row>
    <row r="32" spans="1:14">
      <c r="A32" s="15">
        <v>27</v>
      </c>
      <c r="B32" s="16"/>
      <c r="C32" s="17"/>
      <c r="D32" s="17"/>
      <c r="E32" s="16"/>
      <c r="F32" s="18"/>
      <c r="G32" s="18"/>
      <c r="H32" s="16"/>
      <c r="I32" s="19"/>
      <c r="J32" s="20">
        <f>IF(OR(I32="",K32&lt;&gt;"유지"),0,IF(H32="월납",I32,IF(H32="3개월납",I32/3,IF(H32="6개월납",I32/6,IF(H32="연납",I32/12,0)))))</f>
        <v>0</v>
      </c>
      <c r="K32" s="16"/>
      <c r="L32" s="21">
        <f>IF(OR(G32="",K32&lt;&gt;"유지"),"",G32-TODAY())</f>
        <v>0</v>
      </c>
      <c r="M32" s="22"/>
      <c r="N32" s="22"/>
    </row>
    <row r="33" spans="1:14">
      <c r="A33" s="15">
        <v>28</v>
      </c>
      <c r="B33" s="16"/>
      <c r="C33" s="17"/>
      <c r="D33" s="17"/>
      <c r="E33" s="16"/>
      <c r="F33" s="18"/>
      <c r="G33" s="18"/>
      <c r="H33" s="16"/>
      <c r="I33" s="19"/>
      <c r="J33" s="20">
        <f>IF(OR(I33="",K33&lt;&gt;"유지"),0,IF(H33="월납",I33,IF(H33="3개월납",I33/3,IF(H33="6개월납",I33/6,IF(H33="연납",I33/12,0)))))</f>
        <v>0</v>
      </c>
      <c r="K33" s="16"/>
      <c r="L33" s="21">
        <f>IF(OR(G33="",K33&lt;&gt;"유지"),"",G33-TODAY())</f>
        <v>0</v>
      </c>
      <c r="M33" s="22"/>
      <c r="N33" s="22"/>
    </row>
    <row r="34" spans="1:14">
      <c r="A34" s="15">
        <v>29</v>
      </c>
      <c r="B34" s="16"/>
      <c r="C34" s="17"/>
      <c r="D34" s="17"/>
      <c r="E34" s="16"/>
      <c r="F34" s="18"/>
      <c r="G34" s="18"/>
      <c r="H34" s="16"/>
      <c r="I34" s="19"/>
      <c r="J34" s="20">
        <f>IF(OR(I34="",K34&lt;&gt;"유지"),0,IF(H34="월납",I34,IF(H34="3개월납",I34/3,IF(H34="6개월납",I34/6,IF(H34="연납",I34/12,0)))))</f>
        <v>0</v>
      </c>
      <c r="K34" s="16"/>
      <c r="L34" s="21">
        <f>IF(OR(G34="",K34&lt;&gt;"유지"),"",G34-TODAY())</f>
        <v>0</v>
      </c>
      <c r="M34" s="22"/>
      <c r="N34" s="22"/>
    </row>
    <row r="35" spans="1:14">
      <c r="A35" s="15">
        <v>30</v>
      </c>
      <c r="B35" s="16"/>
      <c r="C35" s="17"/>
      <c r="D35" s="17"/>
      <c r="E35" s="16"/>
      <c r="F35" s="18"/>
      <c r="G35" s="18"/>
      <c r="H35" s="16"/>
      <c r="I35" s="19"/>
      <c r="J35" s="20">
        <f>IF(OR(I35="",K35&lt;&gt;"유지"),0,IF(H35="월납",I35,IF(H35="3개월납",I35/3,IF(H35="6개월납",I35/6,IF(H35="연납",I35/12,0)))))</f>
        <v>0</v>
      </c>
      <c r="K35" s="16"/>
      <c r="L35" s="21">
        <f>IF(OR(G35="",K35&lt;&gt;"유지"),"",G35-TODAY())</f>
        <v>0</v>
      </c>
      <c r="M35" s="22"/>
      <c r="N35" s="22"/>
    </row>
    <row r="36" spans="1:14">
      <c r="A36" s="15">
        <v>31</v>
      </c>
      <c r="B36" s="16"/>
      <c r="C36" s="17"/>
      <c r="D36" s="17"/>
      <c r="E36" s="16"/>
      <c r="F36" s="18"/>
      <c r="G36" s="18"/>
      <c r="H36" s="16"/>
      <c r="I36" s="19"/>
      <c r="J36" s="20">
        <f>IF(OR(I36="",K36&lt;&gt;"유지"),0,IF(H36="월납",I36,IF(H36="3개월납",I36/3,IF(H36="6개월납",I36/6,IF(H36="연납",I36/12,0)))))</f>
        <v>0</v>
      </c>
      <c r="K36" s="16"/>
      <c r="L36" s="21">
        <f>IF(OR(G36="",K36&lt;&gt;"유지"),"",G36-TODAY())</f>
        <v>0</v>
      </c>
      <c r="M36" s="22"/>
      <c r="N36" s="22"/>
    </row>
    <row r="37" spans="1:14">
      <c r="A37" s="15">
        <v>32</v>
      </c>
      <c r="B37" s="16"/>
      <c r="C37" s="17"/>
      <c r="D37" s="17"/>
      <c r="E37" s="16"/>
      <c r="F37" s="18"/>
      <c r="G37" s="18"/>
      <c r="H37" s="16"/>
      <c r="I37" s="19"/>
      <c r="J37" s="20">
        <f>IF(OR(I37="",K37&lt;&gt;"유지"),0,IF(H37="월납",I37,IF(H37="3개월납",I37/3,IF(H37="6개월납",I37/6,IF(H37="연납",I37/12,0)))))</f>
        <v>0</v>
      </c>
      <c r="K37" s="16"/>
      <c r="L37" s="21">
        <f>IF(OR(G37="",K37&lt;&gt;"유지"),"",G37-TODAY())</f>
        <v>0</v>
      </c>
      <c r="M37" s="22"/>
      <c r="N37" s="22"/>
    </row>
    <row r="38" spans="1:14">
      <c r="A38" s="15">
        <v>33</v>
      </c>
      <c r="B38" s="16"/>
      <c r="C38" s="17"/>
      <c r="D38" s="17"/>
      <c r="E38" s="16"/>
      <c r="F38" s="18"/>
      <c r="G38" s="18"/>
      <c r="H38" s="16"/>
      <c r="I38" s="19"/>
      <c r="J38" s="20">
        <f>IF(OR(I38="",K38&lt;&gt;"유지"),0,IF(H38="월납",I38,IF(H38="3개월납",I38/3,IF(H38="6개월납",I38/6,IF(H38="연납",I38/12,0)))))</f>
        <v>0</v>
      </c>
      <c r="K38" s="16"/>
      <c r="L38" s="21">
        <f>IF(OR(G38="",K38&lt;&gt;"유지"),"",G38-TODAY())</f>
        <v>0</v>
      </c>
      <c r="M38" s="22"/>
      <c r="N38" s="22"/>
    </row>
    <row r="39" spans="1:14">
      <c r="A39" s="15">
        <v>34</v>
      </c>
      <c r="B39" s="16"/>
      <c r="C39" s="17"/>
      <c r="D39" s="17"/>
      <c r="E39" s="16"/>
      <c r="F39" s="18"/>
      <c r="G39" s="18"/>
      <c r="H39" s="16"/>
      <c r="I39" s="19"/>
      <c r="J39" s="20">
        <f>IF(OR(I39="",K39&lt;&gt;"유지"),0,IF(H39="월납",I39,IF(H39="3개월납",I39/3,IF(H39="6개월납",I39/6,IF(H39="연납",I39/12,0)))))</f>
        <v>0</v>
      </c>
      <c r="K39" s="16"/>
      <c r="L39" s="21">
        <f>IF(OR(G39="",K39&lt;&gt;"유지"),"",G39-TODAY())</f>
        <v>0</v>
      </c>
      <c r="M39" s="22"/>
      <c r="N39" s="22"/>
    </row>
    <row r="40" spans="1:14">
      <c r="A40" s="15">
        <v>35</v>
      </c>
      <c r="B40" s="16"/>
      <c r="C40" s="17"/>
      <c r="D40" s="17"/>
      <c r="E40" s="16"/>
      <c r="F40" s="18"/>
      <c r="G40" s="18"/>
      <c r="H40" s="16"/>
      <c r="I40" s="19"/>
      <c r="J40" s="20">
        <f>IF(OR(I40="",K40&lt;&gt;"유지"),0,IF(H40="월납",I40,IF(H40="3개월납",I40/3,IF(H40="6개월납",I40/6,IF(H40="연납",I40/12,0)))))</f>
        <v>0</v>
      </c>
      <c r="K40" s="16"/>
      <c r="L40" s="21">
        <f>IF(OR(G40="",K40&lt;&gt;"유지"),"",G40-TODAY())</f>
        <v>0</v>
      </c>
      <c r="M40" s="22"/>
      <c r="N40" s="22"/>
    </row>
    <row r="41" spans="1:14">
      <c r="A41" s="15">
        <v>36</v>
      </c>
      <c r="B41" s="16"/>
      <c r="C41" s="17"/>
      <c r="D41" s="17"/>
      <c r="E41" s="16"/>
      <c r="F41" s="18"/>
      <c r="G41" s="18"/>
      <c r="H41" s="16"/>
      <c r="I41" s="19"/>
      <c r="J41" s="20">
        <f>IF(OR(I41="",K41&lt;&gt;"유지"),0,IF(H41="월납",I41,IF(H41="3개월납",I41/3,IF(H41="6개월납",I41/6,IF(H41="연납",I41/12,0)))))</f>
        <v>0</v>
      </c>
      <c r="K41" s="16"/>
      <c r="L41" s="21">
        <f>IF(OR(G41="",K41&lt;&gt;"유지"),"",G41-TODAY())</f>
        <v>0</v>
      </c>
      <c r="M41" s="22"/>
      <c r="N41" s="22"/>
    </row>
    <row r="42" spans="1:14">
      <c r="A42" s="15">
        <v>37</v>
      </c>
      <c r="B42" s="16"/>
      <c r="C42" s="17"/>
      <c r="D42" s="17"/>
      <c r="E42" s="16"/>
      <c r="F42" s="18"/>
      <c r="G42" s="18"/>
      <c r="H42" s="16"/>
      <c r="I42" s="19"/>
      <c r="J42" s="20">
        <f>IF(OR(I42="",K42&lt;&gt;"유지"),0,IF(H42="월납",I42,IF(H42="3개월납",I42/3,IF(H42="6개월납",I42/6,IF(H42="연납",I42/12,0)))))</f>
        <v>0</v>
      </c>
      <c r="K42" s="16"/>
      <c r="L42" s="21">
        <f>IF(OR(G42="",K42&lt;&gt;"유지"),"",G42-TODAY())</f>
        <v>0</v>
      </c>
      <c r="M42" s="22"/>
      <c r="N42" s="22"/>
    </row>
    <row r="43" spans="1:14">
      <c r="A43" s="15">
        <v>38</v>
      </c>
      <c r="B43" s="16"/>
      <c r="C43" s="17"/>
      <c r="D43" s="17"/>
      <c r="E43" s="16"/>
      <c r="F43" s="18"/>
      <c r="G43" s="18"/>
      <c r="H43" s="16"/>
      <c r="I43" s="19"/>
      <c r="J43" s="20">
        <f>IF(OR(I43="",K43&lt;&gt;"유지"),0,IF(H43="월납",I43,IF(H43="3개월납",I43/3,IF(H43="6개월납",I43/6,IF(H43="연납",I43/12,0)))))</f>
        <v>0</v>
      </c>
      <c r="K43" s="16"/>
      <c r="L43" s="21">
        <f>IF(OR(G43="",K43&lt;&gt;"유지"),"",G43-TODAY())</f>
        <v>0</v>
      </c>
      <c r="M43" s="22"/>
      <c r="N43" s="22"/>
    </row>
    <row r="44" spans="1:14">
      <c r="A44" s="15">
        <v>39</v>
      </c>
      <c r="B44" s="16"/>
      <c r="C44" s="17"/>
      <c r="D44" s="17"/>
      <c r="E44" s="16"/>
      <c r="F44" s="18"/>
      <c r="G44" s="18"/>
      <c r="H44" s="16"/>
      <c r="I44" s="19"/>
      <c r="J44" s="20">
        <f>IF(OR(I44="",K44&lt;&gt;"유지"),0,IF(H44="월납",I44,IF(H44="3개월납",I44/3,IF(H44="6개월납",I44/6,IF(H44="연납",I44/12,0)))))</f>
        <v>0</v>
      </c>
      <c r="K44" s="16"/>
      <c r="L44" s="21">
        <f>IF(OR(G44="",K44&lt;&gt;"유지"),"",G44-TODAY())</f>
        <v>0</v>
      </c>
      <c r="M44" s="22"/>
      <c r="N44" s="22"/>
    </row>
    <row r="45" spans="1:14">
      <c r="A45" s="15">
        <v>40</v>
      </c>
      <c r="B45" s="16"/>
      <c r="C45" s="17"/>
      <c r="D45" s="17"/>
      <c r="E45" s="16"/>
      <c r="F45" s="18"/>
      <c r="G45" s="18"/>
      <c r="H45" s="16"/>
      <c r="I45" s="19"/>
      <c r="J45" s="20">
        <f>IF(OR(I45="",K45&lt;&gt;"유지"),0,IF(H45="월납",I45,IF(H45="3개월납",I45/3,IF(H45="6개월납",I45/6,IF(H45="연납",I45/12,0)))))</f>
        <v>0</v>
      </c>
      <c r="K45" s="16"/>
      <c r="L45" s="21">
        <f>IF(OR(G45="",K45&lt;&gt;"유지"),"",G45-TODAY())</f>
        <v>0</v>
      </c>
      <c r="M45" s="22"/>
      <c r="N45" s="22"/>
    </row>
    <row r="46" spans="1:14">
      <c r="A46" s="15">
        <v>41</v>
      </c>
      <c r="B46" s="16"/>
      <c r="C46" s="17"/>
      <c r="D46" s="17"/>
      <c r="E46" s="16"/>
      <c r="F46" s="18"/>
      <c r="G46" s="18"/>
      <c r="H46" s="16"/>
      <c r="I46" s="19"/>
      <c r="J46" s="20">
        <f>IF(OR(I46="",K46&lt;&gt;"유지"),0,IF(H46="월납",I46,IF(H46="3개월납",I46/3,IF(H46="6개월납",I46/6,IF(H46="연납",I46/12,0)))))</f>
        <v>0</v>
      </c>
      <c r="K46" s="16"/>
      <c r="L46" s="21">
        <f>IF(OR(G46="",K46&lt;&gt;"유지"),"",G46-TODAY())</f>
        <v>0</v>
      </c>
      <c r="M46" s="22"/>
      <c r="N46" s="22"/>
    </row>
    <row r="47" spans="1:14">
      <c r="A47" s="15">
        <v>42</v>
      </c>
      <c r="B47" s="16"/>
      <c r="C47" s="17"/>
      <c r="D47" s="17"/>
      <c r="E47" s="16"/>
      <c r="F47" s="18"/>
      <c r="G47" s="18"/>
      <c r="H47" s="16"/>
      <c r="I47" s="19"/>
      <c r="J47" s="20">
        <f>IF(OR(I47="",K47&lt;&gt;"유지"),0,IF(H47="월납",I47,IF(H47="3개월납",I47/3,IF(H47="6개월납",I47/6,IF(H47="연납",I47/12,0)))))</f>
        <v>0</v>
      </c>
      <c r="K47" s="16"/>
      <c r="L47" s="21">
        <f>IF(OR(G47="",K47&lt;&gt;"유지"),"",G47-TODAY())</f>
        <v>0</v>
      </c>
      <c r="M47" s="22"/>
      <c r="N47" s="22"/>
    </row>
    <row r="48" spans="1:14">
      <c r="A48" s="15">
        <v>43</v>
      </c>
      <c r="B48" s="16"/>
      <c r="C48" s="17"/>
      <c r="D48" s="17"/>
      <c r="E48" s="16"/>
      <c r="F48" s="18"/>
      <c r="G48" s="18"/>
      <c r="H48" s="16"/>
      <c r="I48" s="19"/>
      <c r="J48" s="20">
        <f>IF(OR(I48="",K48&lt;&gt;"유지"),0,IF(H48="월납",I48,IF(H48="3개월납",I48/3,IF(H48="6개월납",I48/6,IF(H48="연납",I48/12,0)))))</f>
        <v>0</v>
      </c>
      <c r="K48" s="16"/>
      <c r="L48" s="21">
        <f>IF(OR(G48="",K48&lt;&gt;"유지"),"",G48-TODAY())</f>
        <v>0</v>
      </c>
      <c r="M48" s="22"/>
      <c r="N48" s="22"/>
    </row>
    <row r="49" spans="1:14">
      <c r="A49" s="15">
        <v>44</v>
      </c>
      <c r="B49" s="16"/>
      <c r="C49" s="17"/>
      <c r="D49" s="17"/>
      <c r="E49" s="16"/>
      <c r="F49" s="18"/>
      <c r="G49" s="18"/>
      <c r="H49" s="16"/>
      <c r="I49" s="19"/>
      <c r="J49" s="20">
        <f>IF(OR(I49="",K49&lt;&gt;"유지"),0,IF(H49="월납",I49,IF(H49="3개월납",I49/3,IF(H49="6개월납",I49/6,IF(H49="연납",I49/12,0)))))</f>
        <v>0</v>
      </c>
      <c r="K49" s="16"/>
      <c r="L49" s="21">
        <f>IF(OR(G49="",K49&lt;&gt;"유지"),"",G49-TODAY())</f>
        <v>0</v>
      </c>
      <c r="M49" s="22"/>
      <c r="N49" s="22"/>
    </row>
    <row r="50" spans="1:14">
      <c r="A50" s="15">
        <v>45</v>
      </c>
      <c r="B50" s="16"/>
      <c r="C50" s="17"/>
      <c r="D50" s="17"/>
      <c r="E50" s="16"/>
      <c r="F50" s="18"/>
      <c r="G50" s="18"/>
      <c r="H50" s="16"/>
      <c r="I50" s="19"/>
      <c r="J50" s="20">
        <f>IF(OR(I50="",K50&lt;&gt;"유지"),0,IF(H50="월납",I50,IF(H50="3개월납",I50/3,IF(H50="6개월납",I50/6,IF(H50="연납",I50/12,0)))))</f>
        <v>0</v>
      </c>
      <c r="K50" s="16"/>
      <c r="L50" s="21">
        <f>IF(OR(G50="",K50&lt;&gt;"유지"),"",G50-TODAY())</f>
        <v>0</v>
      </c>
      <c r="M50" s="22"/>
      <c r="N50" s="22"/>
    </row>
    <row r="51" spans="1:14">
      <c r="A51" s="15">
        <v>46</v>
      </c>
      <c r="B51" s="16"/>
      <c r="C51" s="17"/>
      <c r="D51" s="17"/>
      <c r="E51" s="16"/>
      <c r="F51" s="18"/>
      <c r="G51" s="18"/>
      <c r="H51" s="16"/>
      <c r="I51" s="19"/>
      <c r="J51" s="20">
        <f>IF(OR(I51="",K51&lt;&gt;"유지"),0,IF(H51="월납",I51,IF(H51="3개월납",I51/3,IF(H51="6개월납",I51/6,IF(H51="연납",I51/12,0)))))</f>
        <v>0</v>
      </c>
      <c r="K51" s="16"/>
      <c r="L51" s="21">
        <f>IF(OR(G51="",K51&lt;&gt;"유지"),"",G51-TODAY())</f>
        <v>0</v>
      </c>
      <c r="M51" s="22"/>
      <c r="N51" s="22"/>
    </row>
    <row r="52" spans="1:14">
      <c r="A52" s="15">
        <v>47</v>
      </c>
      <c r="B52" s="16"/>
      <c r="C52" s="17"/>
      <c r="D52" s="17"/>
      <c r="E52" s="16"/>
      <c r="F52" s="18"/>
      <c r="G52" s="18"/>
      <c r="H52" s="16"/>
      <c r="I52" s="19"/>
      <c r="J52" s="20">
        <f>IF(OR(I52="",K52&lt;&gt;"유지"),0,IF(H52="월납",I52,IF(H52="3개월납",I52/3,IF(H52="6개월납",I52/6,IF(H52="연납",I52/12,0)))))</f>
        <v>0</v>
      </c>
      <c r="K52" s="16"/>
      <c r="L52" s="21">
        <f>IF(OR(G52="",K52&lt;&gt;"유지"),"",G52-TODAY())</f>
        <v>0</v>
      </c>
      <c r="M52" s="22"/>
      <c r="N52" s="22"/>
    </row>
    <row r="53" spans="1:14">
      <c r="A53" s="15">
        <v>48</v>
      </c>
      <c r="B53" s="16"/>
      <c r="C53" s="17"/>
      <c r="D53" s="17"/>
      <c r="E53" s="16"/>
      <c r="F53" s="18"/>
      <c r="G53" s="18"/>
      <c r="H53" s="16"/>
      <c r="I53" s="19"/>
      <c r="J53" s="20">
        <f>IF(OR(I53="",K53&lt;&gt;"유지"),0,IF(H53="월납",I53,IF(H53="3개월납",I53/3,IF(H53="6개월납",I53/6,IF(H53="연납",I53/12,0)))))</f>
        <v>0</v>
      </c>
      <c r="K53" s="16"/>
      <c r="L53" s="21">
        <f>IF(OR(G53="",K53&lt;&gt;"유지"),"",G53-TODAY())</f>
        <v>0</v>
      </c>
      <c r="M53" s="22"/>
      <c r="N53" s="22"/>
    </row>
    <row r="54" spans="1:14">
      <c r="A54" s="15">
        <v>49</v>
      </c>
      <c r="B54" s="16"/>
      <c r="C54" s="17"/>
      <c r="D54" s="17"/>
      <c r="E54" s="16"/>
      <c r="F54" s="18"/>
      <c r="G54" s="18"/>
      <c r="H54" s="16"/>
      <c r="I54" s="19"/>
      <c r="J54" s="20">
        <f>IF(OR(I54="",K54&lt;&gt;"유지"),0,IF(H54="월납",I54,IF(H54="3개월납",I54/3,IF(H54="6개월납",I54/6,IF(H54="연납",I54/12,0)))))</f>
        <v>0</v>
      </c>
      <c r="K54" s="16"/>
      <c r="L54" s="21">
        <f>IF(OR(G54="",K54&lt;&gt;"유지"),"",G54-TODAY())</f>
        <v>0</v>
      </c>
      <c r="M54" s="22"/>
      <c r="N54" s="22"/>
    </row>
    <row r="55" spans="1:14">
      <c r="A55" s="15">
        <v>50</v>
      </c>
      <c r="B55" s="16"/>
      <c r="C55" s="17"/>
      <c r="D55" s="17"/>
      <c r="E55" s="16"/>
      <c r="F55" s="18"/>
      <c r="G55" s="18"/>
      <c r="H55" s="16"/>
      <c r="I55" s="19"/>
      <c r="J55" s="20">
        <f>IF(OR(I55="",K55&lt;&gt;"유지"),0,IF(H55="월납",I55,IF(H55="3개월납",I55/3,IF(H55="6개월납",I55/6,IF(H55="연납",I55/12,0)))))</f>
        <v>0</v>
      </c>
      <c r="K55" s="16"/>
      <c r="L55" s="21">
        <f>IF(OR(G55="",K55&lt;&gt;"유지"),"",G55-TODAY())</f>
        <v>0</v>
      </c>
      <c r="M55" s="22"/>
      <c r="N55" s="22"/>
    </row>
  </sheetData>
  <autoFilter ref="A5:N55"/>
  <mergeCells count="10">
    <mergeCell ref="A1:N1"/>
    <mergeCell ref="A2:N2"/>
    <mergeCell ref="B3:D3"/>
    <mergeCell ref="B4:D4"/>
    <mergeCell ref="E3:G3"/>
    <mergeCell ref="E4:G4"/>
    <mergeCell ref="H3:J3"/>
    <mergeCell ref="H4:J4"/>
    <mergeCell ref="K3:M3"/>
    <mergeCell ref="K4:M4"/>
  </mergeCells>
  <conditionalFormatting sqref="A6:N55">
    <cfRule type="expression" dxfId="2" priority="3">
      <formula>OR($K6="해지",$K6="만기",$K6="실효")</formula>
    </cfRule>
  </conditionalFormatting>
  <conditionalFormatting sqref="L6:L55">
    <cfRule type="cellIs" dxfId="0" priority="1" operator="between">
      <formula>0</formula>
      <formula>30</formula>
    </cfRule>
    <cfRule type="cellIs" dxfId="1" priority="2" operator="between">
      <formula>31</formula>
      <formula>90</formula>
    </cfRule>
  </conditionalFormatting>
  <dataValidations count="6">
    <dataValidation type="list" errorStyle="warning" allowBlank="1" showInputMessage="1" showErrorMessage="1" sqref="B6:B55">
      <formula1>People</formula1>
    </dataValidation>
    <dataValidation type="list" errorStyle="warning" allowBlank="1" showInputMessage="1" showErrorMessage="1" sqref="E6:E55">
      <formula1>Kinds</formula1>
    </dataValidation>
    <dataValidation type="list" allowBlank="1" showInputMessage="1" showErrorMessage="1" sqref="H6:H55">
      <formula1>Cycles</formula1>
    </dataValidation>
    <dataValidation type="list" allowBlank="1" showInputMessage="1" showErrorMessage="1" sqref="K6:K55">
      <formula1>States</formula1>
    </dataValidation>
    <dataValidation type="date" allowBlank="1" showInputMessage="1" showErrorMessage="1" errorTitle="날짜 확인" error="날짜 형식(예: 2030-05-20)으로 입력해 주세요." sqref="F6:G55">
      <formula1>18264</formula1>
      <formula2>109939</formula2>
    </dataValidation>
    <dataValidation type="decimal" operator="greaterThanOrEqual" allowBlank="1" showInputMessage="1" showErrorMessage="1" errorTitle="금액 확인" error="0 이상의 숫자만 입력해 주세요." sqref="I6:I55">
      <formula1>0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5D9640"/>
    <pageSetUpPr fitToPage="1"/>
  </sheetPr>
  <dimension ref="B1:J17"/>
  <sheetViews>
    <sheetView showGridLines="0" workbookViewId="0"/>
  </sheetViews>
  <sheetFormatPr defaultRowHeight="15"/>
  <cols>
    <col min="1" max="1" width="3.7109375" customWidth="1"/>
    <col min="2" max="2" width="18.7109375" customWidth="1"/>
    <col min="3" max="5" width="14.7109375" customWidth="1"/>
    <col min="6" max="6" width="3.7109375" customWidth="1"/>
    <col min="7" max="7" width="18.7109375" customWidth="1"/>
    <col min="8" max="10" width="14.7109375" customWidth="1"/>
  </cols>
  <sheetData>
    <row r="1" spans="2:10">
      <c r="B1" s="23" t="s">
        <v>75</v>
      </c>
      <c r="C1" s="23"/>
      <c r="D1" s="23"/>
      <c r="E1" s="23"/>
      <c r="F1" s="23"/>
      <c r="G1" s="23"/>
      <c r="H1" s="23"/>
      <c r="I1" s="23"/>
      <c r="J1" s="23"/>
    </row>
    <row r="3" spans="2:10">
      <c r="B3" s="14" t="s">
        <v>76</v>
      </c>
      <c r="C3" s="14" t="s">
        <v>77</v>
      </c>
      <c r="D3" s="14" t="s">
        <v>63</v>
      </c>
      <c r="E3" s="14" t="s">
        <v>78</v>
      </c>
      <c r="G3" s="14" t="s">
        <v>80</v>
      </c>
      <c r="H3" s="14" t="s">
        <v>77</v>
      </c>
      <c r="I3" s="14" t="s">
        <v>63</v>
      </c>
      <c r="J3" s="14" t="s">
        <v>78</v>
      </c>
    </row>
    <row r="4" spans="2:10">
      <c r="B4" s="24">
        <f>'설정'!B4</f>
        <v>0</v>
      </c>
      <c r="C4" s="25">
        <f>COUNTIFS('정리표'!$B$6:$B$55,B4,'정리표'!$K$6:$K$55,"유지")</f>
        <v>0</v>
      </c>
      <c r="D4" s="20">
        <f>SUMIFS('정리표'!$J$6:$J$55,'정리표'!$B$6:$B$55,B4)</f>
        <v>0</v>
      </c>
      <c r="E4" s="26">
        <f>IF($D$10=0,"",D4/$D$10)</f>
        <v>0</v>
      </c>
      <c r="G4" s="24">
        <f>'설정'!C4</f>
        <v>0</v>
      </c>
      <c r="H4" s="25">
        <f>COUNTIFS('정리표'!$E$6:$E$55,G4,'정리표'!$K$6:$K$55,"유지")</f>
        <v>0</v>
      </c>
      <c r="I4" s="20">
        <f>SUMIFS('정리표'!$J$6:$J$55,'정리표'!$E$6:$E$55,G4)</f>
        <v>0</v>
      </c>
      <c r="J4" s="26">
        <f>IF($I$17=0,"",I4/$I$17)</f>
        <v>0</v>
      </c>
    </row>
    <row r="5" spans="2:10">
      <c r="B5" s="24">
        <f>'설정'!B5</f>
        <v>0</v>
      </c>
      <c r="C5" s="25">
        <f>COUNTIFS('정리표'!$B$6:$B$55,B5,'정리표'!$K$6:$K$55,"유지")</f>
        <v>0</v>
      </c>
      <c r="D5" s="20">
        <f>SUMIFS('정리표'!$J$6:$J$55,'정리표'!$B$6:$B$55,B5)</f>
        <v>0</v>
      </c>
      <c r="E5" s="26">
        <f>IF($D$10=0,"",D5/$D$10)</f>
        <v>0</v>
      </c>
      <c r="G5" s="24">
        <f>'설정'!C5</f>
        <v>0</v>
      </c>
      <c r="H5" s="25">
        <f>COUNTIFS('정리표'!$E$6:$E$55,G5,'정리표'!$K$6:$K$55,"유지")</f>
        <v>0</v>
      </c>
      <c r="I5" s="20">
        <f>SUMIFS('정리표'!$J$6:$J$55,'정리표'!$E$6:$E$55,G5)</f>
        <v>0</v>
      </c>
      <c r="J5" s="26">
        <f>IF($I$17=0,"",I5/$I$17)</f>
        <v>0</v>
      </c>
    </row>
    <row r="6" spans="2:10">
      <c r="B6" s="24">
        <f>'설정'!B6</f>
        <v>0</v>
      </c>
      <c r="C6" s="25">
        <f>COUNTIFS('정리표'!$B$6:$B$55,B6,'정리표'!$K$6:$K$55,"유지")</f>
        <v>0</v>
      </c>
      <c r="D6" s="20">
        <f>SUMIFS('정리표'!$J$6:$J$55,'정리표'!$B$6:$B$55,B6)</f>
        <v>0</v>
      </c>
      <c r="E6" s="26">
        <f>IF($D$10=0,"",D6/$D$10)</f>
        <v>0</v>
      </c>
      <c r="G6" s="24">
        <f>'설정'!C6</f>
        <v>0</v>
      </c>
      <c r="H6" s="25">
        <f>COUNTIFS('정리표'!$E$6:$E$55,G6,'정리표'!$K$6:$K$55,"유지")</f>
        <v>0</v>
      </c>
      <c r="I6" s="20">
        <f>SUMIFS('정리표'!$J$6:$J$55,'정리표'!$E$6:$E$55,G6)</f>
        <v>0</v>
      </c>
      <c r="J6" s="26">
        <f>IF($I$17=0,"",I6/$I$17)</f>
        <v>0</v>
      </c>
    </row>
    <row r="7" spans="2:10">
      <c r="B7" s="24">
        <f>'설정'!B7</f>
        <v>0</v>
      </c>
      <c r="C7" s="25">
        <f>COUNTIFS('정리표'!$B$6:$B$55,B7,'정리표'!$K$6:$K$55,"유지")</f>
        <v>0</v>
      </c>
      <c r="D7" s="20">
        <f>SUMIFS('정리표'!$J$6:$J$55,'정리표'!$B$6:$B$55,B7)</f>
        <v>0</v>
      </c>
      <c r="E7" s="26">
        <f>IF($D$10=0,"",D7/$D$10)</f>
        <v>0</v>
      </c>
      <c r="G7" s="24">
        <f>'설정'!C7</f>
        <v>0</v>
      </c>
      <c r="H7" s="25">
        <f>COUNTIFS('정리표'!$E$6:$E$55,G7,'정리표'!$K$6:$K$55,"유지")</f>
        <v>0</v>
      </c>
      <c r="I7" s="20">
        <f>SUMIFS('정리표'!$J$6:$J$55,'정리표'!$E$6:$E$55,G7)</f>
        <v>0</v>
      </c>
      <c r="J7" s="26">
        <f>IF($I$17=0,"",I7/$I$17)</f>
        <v>0</v>
      </c>
    </row>
    <row r="8" spans="2:10">
      <c r="B8" s="24">
        <f>'설정'!B8</f>
        <v>0</v>
      </c>
      <c r="C8" s="25">
        <f>COUNTIFS('정리표'!$B$6:$B$55,B8,'정리표'!$K$6:$K$55,"유지")</f>
        <v>0</v>
      </c>
      <c r="D8" s="20">
        <f>SUMIFS('정리표'!$J$6:$J$55,'정리표'!$B$6:$B$55,B8)</f>
        <v>0</v>
      </c>
      <c r="E8" s="26">
        <f>IF($D$10=0,"",D8/$D$10)</f>
        <v>0</v>
      </c>
      <c r="G8" s="24">
        <f>'설정'!C8</f>
        <v>0</v>
      </c>
      <c r="H8" s="25">
        <f>COUNTIFS('정리표'!$E$6:$E$55,G8,'정리표'!$K$6:$K$55,"유지")</f>
        <v>0</v>
      </c>
      <c r="I8" s="20">
        <f>SUMIFS('정리표'!$J$6:$J$55,'정리표'!$E$6:$E$55,G8)</f>
        <v>0</v>
      </c>
      <c r="J8" s="26">
        <f>IF($I$17=0,"",I8/$I$17)</f>
        <v>0</v>
      </c>
    </row>
    <row r="9" spans="2:10">
      <c r="B9" s="24">
        <f>'설정'!B9</f>
        <v>0</v>
      </c>
      <c r="C9" s="25">
        <f>COUNTIFS('정리표'!$B$6:$B$55,B9,'정리표'!$K$6:$K$55,"유지")</f>
        <v>0</v>
      </c>
      <c r="D9" s="20">
        <f>SUMIFS('정리표'!$J$6:$J$55,'정리표'!$B$6:$B$55,B9)</f>
        <v>0</v>
      </c>
      <c r="E9" s="26">
        <f>IF($D$10=0,"",D9/$D$10)</f>
        <v>0</v>
      </c>
      <c r="G9" s="24">
        <f>'설정'!C9</f>
        <v>0</v>
      </c>
      <c r="H9" s="25">
        <f>COUNTIFS('정리표'!$E$6:$E$55,G9,'정리표'!$K$6:$K$55,"유지")</f>
        <v>0</v>
      </c>
      <c r="I9" s="20">
        <f>SUMIFS('정리표'!$J$6:$J$55,'정리표'!$E$6:$E$55,G9)</f>
        <v>0</v>
      </c>
      <c r="J9" s="26">
        <f>IF($I$17=0,"",I9/$I$17)</f>
        <v>0</v>
      </c>
    </row>
    <row r="10" spans="2:10">
      <c r="B10" s="27" t="s">
        <v>79</v>
      </c>
      <c r="C10" s="28">
        <f>SUM(C4:C9)</f>
        <v>0</v>
      </c>
      <c r="D10" s="29">
        <f>SUM(D4:D9)</f>
        <v>0</v>
      </c>
      <c r="E10" s="27"/>
      <c r="G10" s="24">
        <f>'설정'!C10</f>
        <v>0</v>
      </c>
      <c r="H10" s="25">
        <f>COUNTIFS('정리표'!$E$6:$E$55,G10,'정리표'!$K$6:$K$55,"유지")</f>
        <v>0</v>
      </c>
      <c r="I10" s="20">
        <f>SUMIFS('정리표'!$J$6:$J$55,'정리표'!$E$6:$E$55,G10)</f>
        <v>0</v>
      </c>
      <c r="J10" s="26">
        <f>IF($I$17=0,"",I10/$I$17)</f>
        <v>0</v>
      </c>
    </row>
    <row r="11" spans="2:10">
      <c r="G11" s="24">
        <f>'설정'!C11</f>
        <v>0</v>
      </c>
      <c r="H11" s="25">
        <f>COUNTIFS('정리표'!$E$6:$E$55,G11,'정리표'!$K$6:$K$55,"유지")</f>
        <v>0</v>
      </c>
      <c r="I11" s="20">
        <f>SUMIFS('정리표'!$J$6:$J$55,'정리표'!$E$6:$E$55,G11)</f>
        <v>0</v>
      </c>
      <c r="J11" s="26">
        <f>IF($I$17=0,"",I11/$I$17)</f>
        <v>0</v>
      </c>
    </row>
    <row r="12" spans="2:10">
      <c r="B12" s="14" t="s">
        <v>81</v>
      </c>
      <c r="C12" s="14" t="s">
        <v>77</v>
      </c>
      <c r="G12" s="24">
        <f>'설정'!C12</f>
        <v>0</v>
      </c>
      <c r="H12" s="25">
        <f>COUNTIFS('정리표'!$E$6:$E$55,G12,'정리표'!$K$6:$K$55,"유지")</f>
        <v>0</v>
      </c>
      <c r="I12" s="20">
        <f>SUMIFS('정리표'!$J$6:$J$55,'정리표'!$E$6:$E$55,G12)</f>
        <v>0</v>
      </c>
      <c r="J12" s="26">
        <f>IF($I$17=0,"",I12/$I$17)</f>
        <v>0</v>
      </c>
    </row>
    <row r="13" spans="2:10">
      <c r="B13" s="24" t="s">
        <v>82</v>
      </c>
      <c r="C13" s="25">
        <f>COUNTIFS('정리표'!$L$6:$L$55,"&gt;=0",'정리표'!$L$6:$L$55,"&lt;=30")</f>
        <v>0</v>
      </c>
      <c r="G13" s="24">
        <f>'설정'!C13</f>
        <v>0</v>
      </c>
      <c r="H13" s="25">
        <f>COUNTIFS('정리표'!$E$6:$E$55,G13,'정리표'!$K$6:$K$55,"유지")</f>
        <v>0</v>
      </c>
      <c r="I13" s="20">
        <f>SUMIFS('정리표'!$J$6:$J$55,'정리표'!$E$6:$E$55,G13)</f>
        <v>0</v>
      </c>
      <c r="J13" s="26">
        <f>IF($I$17=0,"",I13/$I$17)</f>
        <v>0</v>
      </c>
    </row>
    <row r="14" spans="2:10">
      <c r="B14" s="24" t="s">
        <v>83</v>
      </c>
      <c r="C14" s="25">
        <f>COUNTIFS('정리표'!$L$6:$L$55,"&gt;=0",'정리표'!$L$6:$L$55,"&lt;=90")</f>
        <v>0</v>
      </c>
      <c r="G14" s="24">
        <f>'설정'!C14</f>
        <v>0</v>
      </c>
      <c r="H14" s="25">
        <f>COUNTIFS('정리표'!$E$6:$E$55,G14,'정리표'!$K$6:$K$55,"유지")</f>
        <v>0</v>
      </c>
      <c r="I14" s="20">
        <f>SUMIFS('정리표'!$J$6:$J$55,'정리표'!$E$6:$E$55,G14)</f>
        <v>0</v>
      </c>
      <c r="J14" s="26">
        <f>IF($I$17=0,"",I14/$I$17)</f>
        <v>0</v>
      </c>
    </row>
    <row r="15" spans="2:10">
      <c r="B15" s="24" t="s">
        <v>84</v>
      </c>
      <c r="C15" s="25">
        <f>COUNTIFS('정리표'!$L$6:$L$55,"&gt;=0",'정리표'!$L$6:$L$55,"&lt;=180")</f>
        <v>0</v>
      </c>
      <c r="G15" s="24">
        <f>'설정'!C15</f>
        <v>0</v>
      </c>
      <c r="H15" s="25">
        <f>COUNTIFS('정리표'!$E$6:$E$55,G15,'정리표'!$K$6:$K$55,"유지")</f>
        <v>0</v>
      </c>
      <c r="I15" s="20">
        <f>SUMIFS('정리표'!$J$6:$J$55,'정리표'!$E$6:$E$55,G15)</f>
        <v>0</v>
      </c>
      <c r="J15" s="26">
        <f>IF($I$17=0,"",I15/$I$17)</f>
        <v>0</v>
      </c>
    </row>
    <row r="16" spans="2:10">
      <c r="B16" s="24" t="s">
        <v>85</v>
      </c>
      <c r="C16" s="25">
        <f>COUNTIFS('정리표'!$L$6:$L$55,"&gt;=0",'정리표'!$L$6:$L$55,"&lt;=365")</f>
        <v>0</v>
      </c>
      <c r="G16" s="24">
        <f>'설정'!C16</f>
        <v>0</v>
      </c>
      <c r="H16" s="25">
        <f>COUNTIFS('정리표'!$E$6:$E$55,G16,'정리표'!$K$6:$K$55,"유지")</f>
        <v>0</v>
      </c>
      <c r="I16" s="20">
        <f>SUMIFS('정리표'!$J$6:$J$55,'정리표'!$E$6:$E$55,G16)</f>
        <v>0</v>
      </c>
      <c r="J16" s="26">
        <f>IF($I$17=0,"",I16/$I$17)</f>
        <v>0</v>
      </c>
    </row>
    <row r="17" spans="2:10">
      <c r="B17" s="24" t="s">
        <v>86</v>
      </c>
      <c r="C17" s="25">
        <f>COUNTIFS('정리표'!$L$6:$L$55,"&lt;0")</f>
        <v>0</v>
      </c>
      <c r="G17" s="27" t="s">
        <v>79</v>
      </c>
      <c r="H17" s="28">
        <f>SUM(H4:H16)</f>
        <v>0</v>
      </c>
      <c r="I17" s="29">
        <f>SUM(I4:I16)</f>
        <v>0</v>
      </c>
      <c r="J17" s="27"/>
    </row>
  </sheetData>
  <mergeCells count="1">
    <mergeCell ref="B1:J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5D9640"/>
    <pageSetUpPr fitToPage="1"/>
  </sheetPr>
  <dimension ref="B1:H20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8" width="14.7109375" customWidth="1"/>
  </cols>
  <sheetData>
    <row r="1" spans="2:8">
      <c r="B1" s="23" t="s">
        <v>87</v>
      </c>
      <c r="C1" s="23"/>
      <c r="D1" s="23"/>
      <c r="E1" s="23"/>
      <c r="F1" s="23"/>
      <c r="G1" s="23"/>
      <c r="H1" s="23"/>
    </row>
    <row r="2" spans="2:8">
      <c r="B2" s="14" t="s">
        <v>88</v>
      </c>
      <c r="C2" s="18">
        <v>46023</v>
      </c>
    </row>
    <row r="4" spans="2:8">
      <c r="B4" s="14" t="s">
        <v>89</v>
      </c>
      <c r="C4" s="14">
        <f>'설정'!B4</f>
        <v>0</v>
      </c>
      <c r="D4" s="14">
        <f>'설정'!B5</f>
        <v>0</v>
      </c>
      <c r="E4" s="14">
        <f>'설정'!B6</f>
        <v>0</v>
      </c>
      <c r="F4" s="14">
        <f>'설정'!B7</f>
        <v>0</v>
      </c>
      <c r="G4" s="14">
        <f>'설정'!B8</f>
        <v>0</v>
      </c>
      <c r="H4" s="14">
        <f>'설정'!B9</f>
        <v>0</v>
      </c>
    </row>
    <row r="5" spans="2:8">
      <c r="B5" s="24" t="s">
        <v>90</v>
      </c>
      <c r="C5" s="16"/>
      <c r="D5" s="16"/>
      <c r="E5" s="16"/>
      <c r="F5" s="16"/>
      <c r="G5" s="16"/>
      <c r="H5" s="16"/>
    </row>
    <row r="6" spans="2:8">
      <c r="B6" s="24" t="s">
        <v>91</v>
      </c>
      <c r="C6" s="16"/>
      <c r="D6" s="16"/>
      <c r="E6" s="16"/>
      <c r="F6" s="16"/>
      <c r="G6" s="16"/>
      <c r="H6" s="16"/>
    </row>
    <row r="7" spans="2:8">
      <c r="B7" s="24" t="s">
        <v>31</v>
      </c>
      <c r="C7" s="16"/>
      <c r="D7" s="16"/>
      <c r="E7" s="16"/>
      <c r="F7" s="16"/>
      <c r="G7" s="16"/>
      <c r="H7" s="16"/>
    </row>
    <row r="8" spans="2:8">
      <c r="B8" s="24" t="s">
        <v>92</v>
      </c>
      <c r="C8" s="16"/>
      <c r="D8" s="16"/>
      <c r="E8" s="16"/>
      <c r="F8" s="16"/>
      <c r="G8" s="16"/>
      <c r="H8" s="16"/>
    </row>
    <row r="9" spans="2:8">
      <c r="B9" s="24" t="s">
        <v>93</v>
      </c>
      <c r="C9" s="16"/>
      <c r="D9" s="16"/>
      <c r="E9" s="16"/>
      <c r="F9" s="16"/>
      <c r="G9" s="16"/>
      <c r="H9" s="16"/>
    </row>
    <row r="10" spans="2:8">
      <c r="B10" s="24" t="s">
        <v>94</v>
      </c>
      <c r="C10" s="16"/>
      <c r="D10" s="16"/>
      <c r="E10" s="16"/>
      <c r="F10" s="16"/>
      <c r="G10" s="16"/>
      <c r="H10" s="16"/>
    </row>
    <row r="11" spans="2:8">
      <c r="B11" s="24" t="s">
        <v>32</v>
      </c>
      <c r="C11" s="16"/>
      <c r="D11" s="16"/>
      <c r="E11" s="16"/>
      <c r="F11" s="16"/>
      <c r="G11" s="16"/>
      <c r="H11" s="16"/>
    </row>
    <row r="12" spans="2:8">
      <c r="B12" s="24" t="s">
        <v>33</v>
      </c>
      <c r="C12" s="16"/>
      <c r="D12" s="16"/>
      <c r="E12" s="16"/>
      <c r="F12" s="16"/>
      <c r="G12" s="16"/>
      <c r="H12" s="16"/>
    </row>
    <row r="13" spans="2:8">
      <c r="B13" s="24" t="s">
        <v>95</v>
      </c>
      <c r="C13" s="16"/>
      <c r="D13" s="16"/>
      <c r="E13" s="16"/>
      <c r="F13" s="16"/>
      <c r="G13" s="16"/>
      <c r="H13" s="16"/>
    </row>
    <row r="14" spans="2:8">
      <c r="B14" s="24" t="s">
        <v>96</v>
      </c>
      <c r="C14" s="16"/>
      <c r="D14" s="16"/>
      <c r="E14" s="16"/>
      <c r="F14" s="16"/>
      <c r="G14" s="16"/>
      <c r="H14" s="16"/>
    </row>
    <row r="15" spans="2:8">
      <c r="B15" s="24" t="s">
        <v>97</v>
      </c>
      <c r="C15" s="16"/>
      <c r="D15" s="16"/>
      <c r="E15" s="16"/>
      <c r="F15" s="16"/>
      <c r="G15" s="16"/>
      <c r="H15" s="16"/>
    </row>
    <row r="16" spans="2:8">
      <c r="B16" s="24" t="s">
        <v>39</v>
      </c>
      <c r="C16" s="16"/>
      <c r="D16" s="16"/>
      <c r="E16" s="16"/>
      <c r="F16" s="16"/>
      <c r="G16" s="16"/>
      <c r="H16" s="16"/>
    </row>
    <row r="17" spans="2:8">
      <c r="B17" s="24" t="s">
        <v>38</v>
      </c>
      <c r="C17" s="16"/>
      <c r="D17" s="16"/>
      <c r="E17" s="16"/>
      <c r="F17" s="16"/>
      <c r="G17" s="16"/>
      <c r="H17" s="16"/>
    </row>
    <row r="19" spans="2:8">
      <c r="B19" s="8" t="s">
        <v>98</v>
      </c>
      <c r="C19" s="8"/>
      <c r="D19" s="8"/>
      <c r="E19" s="8"/>
      <c r="F19" s="8"/>
      <c r="G19" s="8"/>
      <c r="H19" s="8"/>
    </row>
    <row r="20" spans="2:8">
      <c r="B20" s="8"/>
      <c r="C20" s="8"/>
      <c r="D20" s="8"/>
      <c r="E20" s="8"/>
      <c r="F20" s="8"/>
      <c r="G20" s="8"/>
      <c r="H20" s="8"/>
    </row>
  </sheetData>
  <mergeCells count="2">
    <mergeCell ref="B1:H1"/>
    <mergeCell ref="B19:H20"/>
  </mergeCells>
  <conditionalFormatting sqref="C5:H17">
    <cfRule type="cellIs" dxfId="3" priority="1" operator="equal">
      <formula>"가입 확인"</formula>
    </cfRule>
    <cfRule type="cellIs" dxfId="1" priority="2" operator="equal">
      <formula>"확인 필요"</formula>
    </cfRule>
    <cfRule type="cellIs" dxfId="2" priority="3" operator="equal">
      <formula>"해당 없음"</formula>
    </cfRule>
  </conditionalFormatting>
  <dataValidations count="1">
    <dataValidation type="list" allowBlank="1" showInputMessage="1" showErrorMessage="1" sqref="C5:H17">
      <formula1>"가입 확인,확인 필요,해당 없음"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4B3D8F"/>
  </sheetPr>
  <dimension ref="B1:G16"/>
  <sheetViews>
    <sheetView showGridLines="0" workbookViewId="0"/>
  </sheetViews>
  <sheetFormatPr defaultRowHeight="15"/>
  <cols>
    <col min="1" max="1" width="3.7109375" customWidth="1"/>
    <col min="2" max="7" width="16.7109375" customWidth="1"/>
  </cols>
  <sheetData>
    <row r="1" spans="2:7">
      <c r="B1" s="23" t="s">
        <v>17</v>
      </c>
      <c r="C1" s="23"/>
      <c r="D1" s="23"/>
      <c r="E1" s="23"/>
      <c r="F1" s="23"/>
      <c r="G1" s="23"/>
    </row>
    <row r="3" spans="2:7">
      <c r="B3" s="14" t="s">
        <v>18</v>
      </c>
      <c r="C3" s="14" t="s">
        <v>19</v>
      </c>
      <c r="D3" s="14" t="s">
        <v>20</v>
      </c>
      <c r="E3" s="14" t="s">
        <v>21</v>
      </c>
    </row>
    <row r="4" spans="2:7">
      <c r="B4" s="22" t="s">
        <v>22</v>
      </c>
      <c r="C4" s="22" t="s">
        <v>28</v>
      </c>
      <c r="D4" s="24" t="s">
        <v>40</v>
      </c>
      <c r="E4" s="24" t="s">
        <v>46</v>
      </c>
    </row>
    <row r="5" spans="2:7">
      <c r="B5" s="22" t="s">
        <v>23</v>
      </c>
      <c r="C5" s="22" t="s">
        <v>29</v>
      </c>
      <c r="D5" s="24" t="s">
        <v>41</v>
      </c>
      <c r="E5" s="24" t="s">
        <v>47</v>
      </c>
    </row>
    <row r="6" spans="2:7">
      <c r="B6" s="22" t="s">
        <v>24</v>
      </c>
      <c r="C6" s="22" t="s">
        <v>30</v>
      </c>
      <c r="D6" s="24" t="s">
        <v>42</v>
      </c>
      <c r="E6" s="24" t="s">
        <v>48</v>
      </c>
    </row>
    <row r="7" spans="2:7">
      <c r="B7" s="22" t="s">
        <v>25</v>
      </c>
      <c r="C7" s="22" t="s">
        <v>31</v>
      </c>
      <c r="D7" s="24" t="s">
        <v>43</v>
      </c>
      <c r="E7" s="24" t="s">
        <v>49</v>
      </c>
    </row>
    <row r="8" spans="2:7">
      <c r="B8" s="22" t="s">
        <v>26</v>
      </c>
      <c r="C8" s="22" t="s">
        <v>32</v>
      </c>
      <c r="D8" s="24" t="s">
        <v>44</v>
      </c>
      <c r="E8" s="24" t="s">
        <v>50</v>
      </c>
    </row>
    <row r="9" spans="2:7">
      <c r="B9" s="22" t="s">
        <v>27</v>
      </c>
      <c r="C9" s="22" t="s">
        <v>33</v>
      </c>
      <c r="D9" s="24" t="s">
        <v>45</v>
      </c>
    </row>
    <row r="10" spans="2:7">
      <c r="C10" s="22" t="s">
        <v>34</v>
      </c>
    </row>
    <row r="11" spans="2:7">
      <c r="C11" s="22" t="s">
        <v>35</v>
      </c>
    </row>
    <row r="12" spans="2:7">
      <c r="C12" s="22" t="s">
        <v>36</v>
      </c>
    </row>
    <row r="13" spans="2:7">
      <c r="C13" s="22" t="s">
        <v>37</v>
      </c>
    </row>
    <row r="14" spans="2:7">
      <c r="C14" s="22" t="s">
        <v>38</v>
      </c>
    </row>
    <row r="15" spans="2:7">
      <c r="C15" s="22" t="s">
        <v>39</v>
      </c>
    </row>
    <row r="16" spans="2:7">
      <c r="C16" s="22" t="s">
        <v>27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시작하기</vt:lpstr>
      <vt:lpstr>정리표</vt:lpstr>
      <vt:lpstr>요약</vt:lpstr>
      <vt:lpstr>보장 체크</vt:lpstr>
      <vt:lpstr>설정</vt:lpstr>
      <vt:lpstr>Cycles</vt:lpstr>
      <vt:lpstr>Kinds</vt:lpstr>
      <vt:lpstr>People</vt:lpstr>
      <vt:lpstr>정리표!Print_Titles</vt:lpstr>
      <vt:lpstr>States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가족용 보험 증권 정리표</dc:title>
  <dc:creator>우체국보험 상담 안내</dc:creator>
  <dc:description>자유롭게 편집해서 사용하세요.</dc:description>
  <cp:lastModifiedBy>우체국보험 상담 안내</cp:lastModifiedBy>
  <dcterms:created xsi:type="dcterms:W3CDTF">2026-10-19T18:11:57Z</dcterms:created>
  <dcterms:modified xsi:type="dcterms:W3CDTF">2026-10-19T18:11:57Z</dcterms:modified>
</cp:coreProperties>
</file>