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<sst xmlns="http://schemas.openxmlformats.org/spreadsheetml/2006/main" count="76" uniqueCount="62">
  <si>
    <t>행사·케이터링 견적서</t>
  </si>
  <si>
    <t>연둣빛 신록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</si>
  <si>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</si>
  <si>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</si>
  <si>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</si>
  <si>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</si>
  <si>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</si>
  <si>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</si>
  <si>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</si>
  <si>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</si>
  <si>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</si>
  <si>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</si>
  <si>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</si>
  <si>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</si>
  <si>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</si>
  <si>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</si>
  <si>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</si>
  <si>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</si>
  <si>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</si>
  <si>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테이블·의자 대여</t>
  </si>
  <si>
    <t>1세트</t>
  </si>
  <si>
    <t>세트</t>
  </si>
  <si>
    <t>사회자 진행</t>
  </si>
  <si>
    <t>2시간</t>
  </si>
  <si>
    <t>명</t>
  </si>
  <si>
    <t>꽃 장식</t>
  </si>
  <si>
    <t>테이블당</t>
  </si>
  <si>
    <t>개</t>
  </si>
  <si>
    <t>음향·조명</t>
  </si>
  <si>
    <t>일식</t>
  </si>
  <si>
    <t>식</t>
  </si>
  <si>
    <t>현수막·포토존</t>
  </si>
  <si>
    <t>스태프 인건비</t>
  </si>
  <si>
    <t>인당</t>
  </si>
  <si>
    <t>도시락 세트</t>
  </si>
  <si>
    <t>1인분</t>
  </si>
  <si>
    <t>다과·음료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</si>
  <si>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</si>
  <si>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</si>
  <si>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</si>
  <si>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</si>
  <si>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</si>
  <si>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</si>
  <si>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</si>
  <si>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</si>
  <si>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</si>
  <si>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</si>
  <si>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</si>
  <si>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행사·케이터링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</si>
  <si>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</si>
  <si>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</si>
  <si>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</si>
  <si>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</si>
  <si>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</si>
  <si>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</si>
  <si>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</si>
  <si>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</si>
  <si>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</si>
  <si>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</si>
  <si>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</si>
  <si>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인원·장소 변경 시 금액이 조정될 수 있습니다.
• 결제: 행사 7일 전 50% / 행사 후 잔금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</si>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</sst>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43D21"/>
      <name val="맑은 고딕"/>
      <family val="2"/>
    </font>
    <font>
      <i/>
      <sz val="10"/>
      <color rgb="FF2B8245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43D2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2B8245"/>
      <name val="맑은 고딕"/>
      <family val="2"/>
    </font>
    <font>
      <b/>
      <sz val="14"/>
      <color rgb="FF143D21"/>
      <name val="맑은 고딕"/>
      <family val="2"/>
    </font>
    <font>
      <b/>
      <sz val="22"/>
      <color rgb="FF143D21"/>
      <name val="맑은 고딕"/>
      <family val="2"/>
    </font>
    <font>
      <i/>
      <sz val="11"/>
      <color rgb="FF2B8245"/>
      <name val="맑은 고딕"/>
      <family val="2"/>
    </font>
    <font>
      <sz val="9"/>
      <color rgb="FF777777"/>
      <name val="맑은 고딕"/>
      <family val="2"/>
    </font>
    <font>
      <b/>
      <sz val="10"/>
      <color rgb="FF143D21"/>
      <name val="맑은 고딕"/>
      <family val="2"/>
    </font>
    <font>
      <sz val="9"/>
      <color rgb="FF2B8245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B8245"/>
        <bgColor indexed="64"/>
      </patternFill>
    </fill>
    <fill>
      <patternFill patternType="solid">
        <fgColor rgb="FFF0FAF3"/>
        <bgColor indexed="64"/>
      </patternFill>
    </fill>
    <fill>
      <patternFill patternType="solid">
        <fgColor rgb="FF143D21"/>
        <bgColor indexed="64"/>
      </patternFill>
    </fill>
    <fill>
      <patternFill patternType="solid">
        <fgColor rgb="FFD0F1D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2B8245"/>
      </bottom>
      <diagonal/>
    </border>
    <border>
      <left style="thin">
        <color rgb="FF143D21"/>
      </left>
      <right style="thin">
        <color rgb="FF143D21"/>
      </right>
      <top style="thin">
        <color rgb="FF143D21"/>
      </top>
      <bottom style="thin">
        <color rgb="FF143D21"/>
      </bottom>
      <diagonal/>
    </border>
    <border>
      <left style="thin">
        <color rgb="FF2B8245"/>
      </left>
      <right style="thin">
        <color rgb="FF2B8245"/>
      </right>
      <top style="thin">
        <color rgb="FF2B8245"/>
      </top>
      <bottom style="thin">
        <color rgb="FF2B8245"/>
      </bottom>
      <diagonal/>
    </border>
    <border>
      <left style="thin">
        <color rgb="FFD0F1DA"/>
      </left>
      <right style="thin">
        <color rgb="FFD0F1DA"/>
      </right>
      <top style="thin">
        <color rgb="FFD0F1DA"/>
      </top>
      <bottom style="thin">
        <color rgb="FFD0F1DA"/>
      </bottom>
      <diagonal/>
    </border>
    <border>
      <left/>
      <right/>
      <top style="medium">
        <color rgb="FF2B8245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37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38</v>
      </c>
      <c r="C4" s="4"/>
      <c r="D4" s="4"/>
      <c r="E4" s="3" t="s">
        <v>39</v>
      </c>
      <c r="F4" s="4"/>
      <c r="G4" s="4"/>
      <c r="H4" s="4"/>
    </row>
    <row r="5" spans="2:8">
      <c r="B5" s="3" t="s">
        <v>40</v>
      </c>
      <c r="C5" s="4"/>
      <c r="D5" s="4"/>
      <c r="E5" s="3" t="s">
        <v>41</v>
      </c>
      <c r="F5" s="4"/>
      <c r="G5" s="4"/>
      <c r="H5" s="4"/>
    </row>
    <row r="6" spans="2:8">
      <c r="B6" s="3" t="s">
        <v>42</v>
      </c>
      <c r="C6" s="5">
        <f>TODAY()</f>
        <v>0</v>
      </c>
      <c r="D6" s="4"/>
      <c r="E6" s="3" t="s">
        <v>43</v>
      </c>
      <c r="F6" s="4"/>
      <c r="G6" s="4"/>
      <c r="H6" s="4"/>
    </row>
    <row r="7" spans="2:8">
      <c r="B7" s="3" t="s">
        <v>44</v>
      </c>
      <c r="C7" s="6">
        <v>30</v>
      </c>
      <c r="D7" s="7">
        <f>IF(C6="","",C6+C7)</f>
        <v>0</v>
      </c>
      <c r="E7" s="3" t="s">
        <v>45</v>
      </c>
      <c r="F7" s="4"/>
      <c r="G7" s="4"/>
      <c r="H7" s="4"/>
    </row>
    <row r="8" spans="2:8">
      <c r="B8" s="3" t="s">
        <v>46</v>
      </c>
      <c r="C8" s="4" t="s">
        <v>48</v>
      </c>
      <c r="D8" s="4"/>
      <c r="E8" s="3" t="s">
        <v>47</v>
      </c>
      <c r="F8" s="4"/>
      <c r="G8" s="4"/>
      <c r="H8" s="4"/>
    </row>
    <row r="10" spans="2:8" ht="32" customHeight="1">
      <c r="B10" s="8" t="s">
        <v>49</v>
      </c>
      <c r="C10" s="8"/>
      <c r="D10" s="9">
        <f>H32</f>
        <v>6071340</v>
      </c>
      <c r="E10" s="9"/>
      <c r="F10" s="9"/>
      <c r="G10" s="9"/>
      <c r="H10" s="9"/>
    </row>
    <row r="12" spans="2:8">
      <c r="B12" s="10" t="s">
        <v>50</v>
      </c>
      <c r="C12" s="10" t="s">
        <v>15</v>
      </c>
      <c r="D12" s="10" t="s">
        <v>16</v>
      </c>
      <c r="E12" s="10" t="s">
        <v>51</v>
      </c>
      <c r="F12" s="10" t="s">
        <v>17</v>
      </c>
      <c r="G12" s="10" t="s">
        <v>18</v>
      </c>
      <c r="H12" s="10" t="s">
        <v>52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1세트</v>
      </c>
      <c r="E13" s="13">
        <v>2</v>
      </c>
      <c r="F13" s="14" t="str">
        <f>IFERROR(INDEX('단가표'!$D$4:$D$33,MATCH(C13,'단가표'!$B$4:$B$33,0)),"")</f>
        <v>세트</v>
      </c>
      <c r="G13" s="15">
        <f>IFERROR(INDEX('단가표'!$E$4:$E$33,MATCH(C13,'단가표'!$B$4:$B$33,0)),"")</f>
        <v>14200</v>
      </c>
      <c r="H13" s="16">
        <f>IF(OR(E13="",G13=""),"",E13*G13)</f>
        <v>28400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2시간</v>
      </c>
      <c r="E14" s="13">
        <v>4</v>
      </c>
      <c r="F14" s="14" t="str">
        <f>IFERROR(INDEX('단가표'!$D$4:$D$33,MATCH(C14,'단가표'!$B$4:$B$33,0)),"")</f>
        <v>명</v>
      </c>
      <c r="G14" s="15">
        <f>IFERROR(INDEX('단가표'!$E$4:$E$33,MATCH(C14,'단가표'!$B$4:$B$33,0)),"")</f>
        <v>380000</v>
      </c>
      <c r="H14" s="16">
        <f>IF(OR(E14="",G14=""),"",E14*G14)</f>
        <v>1520000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테이블당</v>
      </c>
      <c r="E15" s="13">
        <v>6</v>
      </c>
      <c r="F15" s="14" t="str">
        <f>IFERROR(INDEX('단가표'!$D$4:$D$33,MATCH(C15,'단가표'!$B$4:$B$33,0)),"")</f>
        <v>개</v>
      </c>
      <c r="G15" s="15">
        <f>IFERROR(INDEX('단가표'!$E$4:$E$33,MATCH(C15,'단가표'!$B$4:$B$33,0)),"")</f>
        <v>28500</v>
      </c>
      <c r="H15" s="16">
        <f>IF(OR(E15="",G15=""),"",E15*G15)</f>
        <v>171000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일식</v>
      </c>
      <c r="E16" s="13">
        <v>8</v>
      </c>
      <c r="F16" s="14" t="str">
        <f>IFERROR(INDEX('단가표'!$D$4:$D$33,MATCH(C16,'단가표'!$B$4:$B$33,0)),"")</f>
        <v>식</v>
      </c>
      <c r="G16" s="15">
        <f>IFERROR(INDEX('단가표'!$E$4:$E$33,MATCH(C16,'단가표'!$B$4:$B$33,0)),"")</f>
        <v>475000</v>
      </c>
      <c r="H16" s="16">
        <f>IF(OR(E16="",G16=""),"",E16*G16)</f>
        <v>3800000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53</v>
      </c>
      <c r="C28" s="17"/>
      <c r="D28" s="17"/>
      <c r="E28" s="17"/>
      <c r="F28" s="17"/>
      <c r="G28" s="17"/>
      <c r="H28" s="18">
        <f>SUM(H13:H27)</f>
        <v>5519400</v>
      </c>
    </row>
    <row r="29" spans="2:8">
      <c r="B29" s="14" t="s">
        <v>54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55</v>
      </c>
      <c r="C30" s="19"/>
      <c r="D30" s="19"/>
      <c r="E30" s="19"/>
      <c r="F30" s="19"/>
      <c r="G30" s="19"/>
      <c r="H30" s="20">
        <f>H28-H29</f>
        <v>5519400</v>
      </c>
    </row>
    <row r="31" spans="2:8">
      <c r="B31" s="14" t="s">
        <v>56</v>
      </c>
      <c r="C31" s="14"/>
      <c r="D31" s="14"/>
      <c r="E31" s="14"/>
      <c r="F31" s="21" t="s">
        <v>57</v>
      </c>
      <c r="G31" s="12"/>
      <c r="H31" s="16">
        <f>IF(F31="별도",ROUND(H30*0.1,0),IF(F31="포함",ROUND(H30/11,0),0))</f>
        <v>551940</v>
      </c>
    </row>
    <row r="32" spans="2:8">
      <c r="B32" s="17" t="s">
        <v>58</v>
      </c>
      <c r="C32" s="17"/>
      <c r="D32" s="17"/>
      <c r="E32" s="17"/>
      <c r="F32" s="17"/>
      <c r="G32" s="17"/>
      <c r="H32" s="22">
        <f>H30+IF(F31="별도",H31,0)</f>
        <v>6071340</v>
      </c>
    </row>
    <row r="33" spans="2:8">
      <c r="B33" s="3" t="s">
        <v>59</v>
      </c>
      <c r="C33" s="23" t="s">
        <v>60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61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3B91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14200</v>
      </c>
    </row>
    <row r="5" spans="2:5">
      <c r="B5" s="4" t="s">
        <v>22</v>
      </c>
      <c r="C5" s="4" t="s">
        <v>23</v>
      </c>
      <c r="D5" s="21" t="s">
        <v>24</v>
      </c>
      <c r="E5" s="15">
        <v>380000</v>
      </c>
    </row>
    <row r="6" spans="2:5">
      <c r="B6" s="4" t="s">
        <v>25</v>
      </c>
      <c r="C6" s="4" t="s">
        <v>26</v>
      </c>
      <c r="D6" s="21" t="s">
        <v>27</v>
      </c>
      <c r="E6" s="15">
        <v>28500</v>
      </c>
    </row>
    <row r="7" spans="2:5">
      <c r="B7" s="4" t="s">
        <v>28</v>
      </c>
      <c r="C7" s="4" t="s">
        <v>29</v>
      </c>
      <c r="D7" s="21" t="s">
        <v>30</v>
      </c>
      <c r="E7" s="15">
        <v>475000</v>
      </c>
    </row>
    <row r="8" spans="2:5">
      <c r="B8" s="4" t="s">
        <v>31</v>
      </c>
      <c r="C8" s="4" t="s">
        <v>29</v>
      </c>
      <c r="D8" s="21" t="s">
        <v>30</v>
      </c>
      <c r="E8" s="15">
        <v>237500</v>
      </c>
    </row>
    <row r="9" spans="2:5">
      <c r="B9" s="4" t="s">
        <v>32</v>
      </c>
      <c r="C9" s="4" t="s">
        <v>33</v>
      </c>
      <c r="D9" s="21" t="s">
        <v>24</v>
      </c>
      <c r="E9" s="15">
        <v>114000</v>
      </c>
    </row>
    <row r="10" spans="2:5">
      <c r="B10" s="4" t="s">
        <v>34</v>
      </c>
      <c r="C10" s="4" t="s">
        <v>35</v>
      </c>
      <c r="D10" s="21" t="s">
        <v>27</v>
      </c>
      <c r="E10" s="15">
        <v>11400</v>
      </c>
    </row>
    <row r="11" spans="2:5">
      <c r="B11" s="4" t="s">
        <v>36</v>
      </c>
      <c r="C11" s="4" t="s">
        <v>35</v>
      </c>
      <c r="D11" s="21" t="s">
        <v>27</v>
      </c>
      <c r="E11" s="15">
        <v>5700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B8245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행사·케이터링 견적서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