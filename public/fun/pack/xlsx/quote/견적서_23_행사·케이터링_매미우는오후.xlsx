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<sst xmlns="http://schemas.openxmlformats.org/spreadsheetml/2006/main" count="76" uniqueCount="62">
  <si>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</si>
  <si>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매미 우는 오후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</si>
  <si>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</si>
  <si>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</si>
  <si>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</si>
  <si>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</si>
  <si>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</si>
  <si>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</si>
  <si>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</si>
  <si>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</si>
  <si>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</si>
  <si>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</si>
  <si>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</si>
  <si>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</si>
  <si>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</si>
  <si>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</si>
  <si>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</si>
  <si>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</si>
  <si>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</si>
  <si>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꽃 장식</t>
  </si>
  <si>
    <t>테이블당</t>
  </si>
  <si>
    <t>개</t>
  </si>
  <si>
    <t>음향·조명</t>
  </si>
  <si>
    <t>일식</t>
  </si>
  <si>
    <t>식</t>
  </si>
  <si>
    <t>현수막·포토존</t>
  </si>
  <si>
    <t>스태프 인건비</t>
  </si>
  <si>
    <t>인당</t>
  </si>
  <si>
    <t>명</t>
  </si>
  <si>
    <t>도시락 세트</t>
  </si>
  <si>
    <t>1인분</t>
  </si>
  <si>
    <t>다과·음료</t>
  </si>
  <si>
    <t>테이블·의자 대여</t>
  </si>
  <si>
    <t>1세트</t>
  </si>
  <si>
    <t>세트</t>
  </si>
  <si>
    <t>사회자 진행</t>
  </si>
  <si>
    <t>2시간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</si>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</sst>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14F22"/>
      <name val="맑은 고딕"/>
      <family val="2"/>
    </font>
    <font>
      <i/>
      <sz val="10"/>
      <color rgb="FF5D9640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14F22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5D9640"/>
      <name val="맑은 고딕"/>
      <family val="2"/>
    </font>
    <font>
      <b/>
      <sz val="14"/>
      <color rgb="FF314F22"/>
      <name val="맑은 고딕"/>
      <family val="2"/>
    </font>
    <font>
      <b/>
      <sz val="22"/>
      <color rgb="FF314F22"/>
      <name val="맑은 고딕"/>
      <family val="2"/>
    </font>
    <font>
      <i/>
      <sz val="11"/>
      <color rgb="FF5D9640"/>
      <name val="맑은 고딕"/>
      <family val="2"/>
    </font>
    <font>
      <sz val="9"/>
      <color rgb="FF777777"/>
      <name val="맑은 고딕"/>
      <family val="2"/>
    </font>
    <font>
      <b/>
      <sz val="10"/>
      <color rgb="FF314F22"/>
      <name val="맑은 고딕"/>
      <family val="2"/>
    </font>
    <font>
      <sz val="9"/>
      <color rgb="FF5D9640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D9640"/>
        <bgColor indexed="64"/>
      </patternFill>
    </fill>
    <fill>
      <patternFill patternType="solid">
        <fgColor rgb="FFF3F9F1"/>
        <bgColor indexed="64"/>
      </patternFill>
    </fill>
    <fill>
      <patternFill patternType="solid">
        <fgColor rgb="FF314F22"/>
        <bgColor indexed="64"/>
      </patternFill>
    </fill>
    <fill>
      <patternFill patternType="solid">
        <fgColor rgb="FFDCEED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5D9640"/>
      </bottom>
      <diagonal/>
    </border>
    <border>
      <left style="thin">
        <color rgb="FF314F22"/>
      </left>
      <right style="thin">
        <color rgb="FF314F22"/>
      </right>
      <top style="thin">
        <color rgb="FF314F22"/>
      </top>
      <bottom style="thin">
        <color rgb="FF314F22"/>
      </bottom>
      <diagonal/>
    </border>
    <border>
      <left style="thin">
        <color rgb="FF5D9640"/>
      </left>
      <right style="thin">
        <color rgb="FF5D9640"/>
      </right>
      <top style="thin">
        <color rgb="FF5D9640"/>
      </top>
      <bottom style="thin">
        <color rgb="FF5D9640"/>
      </bottom>
      <diagonal/>
    </border>
    <border>
      <left style="thin">
        <color rgb="FFDCEED3"/>
      </left>
      <right style="thin">
        <color rgb="FFDCEED3"/>
      </right>
      <top style="thin">
        <color rgb="FFDCEED3"/>
      </top>
      <bottom style="thin">
        <color rgb="FFDCEED3"/>
      </bottom>
      <diagonal/>
    </border>
    <border>
      <left/>
      <right/>
      <top style="medium">
        <color rgb="FF5D964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4474800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테이블당</v>
      </c>
      <c r="E13" s="13">
        <v>2</v>
      </c>
      <c r="F13" s="14" t="str">
        <f>IFERROR(INDEX('단가표'!$D$4:$D$33,MATCH(C13,'단가표'!$B$4:$B$33,0)),"")</f>
        <v>개</v>
      </c>
      <c r="G13" s="15">
        <f>IFERROR(INDEX('단가표'!$E$4:$E$33,MATCH(C13,'단가표'!$B$4:$B$33,0)),"")</f>
        <v>27000</v>
      </c>
      <c r="H13" s="16">
        <f>IF(OR(E13="",G13=""),"",E13*G13)</f>
        <v>54000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일식</v>
      </c>
      <c r="E14" s="13">
        <v>4</v>
      </c>
      <c r="F14" s="14" t="str">
        <f>IFERROR(INDEX('단가표'!$D$4:$D$33,MATCH(C14,'단가표'!$B$4:$B$33,0)),"")</f>
        <v>식</v>
      </c>
      <c r="G14" s="15">
        <f>IFERROR(INDEX('단가표'!$E$4:$E$33,MATCH(C14,'단가표'!$B$4:$B$33,0)),"")</f>
        <v>450000</v>
      </c>
      <c r="H14" s="16">
        <f>IF(OR(E14="",G14=""),"",E14*G14)</f>
        <v>1800000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일식</v>
      </c>
      <c r="E15" s="13">
        <v>6</v>
      </c>
      <c r="F15" s="14" t="str">
        <f>IFERROR(INDEX('단가표'!$D$4:$D$33,MATCH(C15,'단가표'!$B$4:$B$33,0)),"")</f>
        <v>식</v>
      </c>
      <c r="G15" s="15">
        <f>IFERROR(INDEX('단가표'!$E$4:$E$33,MATCH(C15,'단가표'!$B$4:$B$33,0)),"")</f>
        <v>225000</v>
      </c>
      <c r="H15" s="16">
        <f>IF(OR(E15="",G15=""),"",E15*G15)</f>
        <v>1350000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인당</v>
      </c>
      <c r="E16" s="13">
        <v>8</v>
      </c>
      <c r="F16" s="14" t="str">
        <f>IFERROR(INDEX('단가표'!$D$4:$D$33,MATCH(C16,'단가표'!$B$4:$B$33,0)),"")</f>
        <v>명</v>
      </c>
      <c r="G16" s="15">
        <f>IFERROR(INDEX('단가표'!$E$4:$E$33,MATCH(C16,'단가표'!$B$4:$B$33,0)),"")</f>
        <v>108000</v>
      </c>
      <c r="H16" s="16">
        <f>IF(OR(E16="",G16=""),"",E16*G16)</f>
        <v>864000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4068000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4068000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406800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4474800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B3D8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27000</v>
      </c>
    </row>
    <row r="5" spans="2:5">
      <c r="B5" s="4" t="s">
        <v>22</v>
      </c>
      <c r="C5" s="4" t="s">
        <v>23</v>
      </c>
      <c r="D5" s="21" t="s">
        <v>24</v>
      </c>
      <c r="E5" s="15">
        <v>450000</v>
      </c>
    </row>
    <row r="6" spans="2:5">
      <c r="B6" s="4" t="s">
        <v>25</v>
      </c>
      <c r="C6" s="4" t="s">
        <v>23</v>
      </c>
      <c r="D6" s="21" t="s">
        <v>24</v>
      </c>
      <c r="E6" s="15">
        <v>225000</v>
      </c>
    </row>
    <row r="7" spans="2:5">
      <c r="B7" s="4" t="s">
        <v>26</v>
      </c>
      <c r="C7" s="4" t="s">
        <v>27</v>
      </c>
      <c r="D7" s="21" t="s">
        <v>28</v>
      </c>
      <c r="E7" s="15">
        <v>108000</v>
      </c>
    </row>
    <row r="8" spans="2:5">
      <c r="B8" s="4" t="s">
        <v>29</v>
      </c>
      <c r="C8" s="4" t="s">
        <v>30</v>
      </c>
      <c r="D8" s="21" t="s">
        <v>21</v>
      </c>
      <c r="E8" s="15">
        <v>10800</v>
      </c>
    </row>
    <row r="9" spans="2:5">
      <c r="B9" s="4" t="s">
        <v>31</v>
      </c>
      <c r="C9" s="4" t="s">
        <v>30</v>
      </c>
      <c r="D9" s="21" t="s">
        <v>21</v>
      </c>
      <c r="E9" s="15">
        <v>5400</v>
      </c>
    </row>
    <row r="10" spans="2:5">
      <c r="B10" s="4" t="s">
        <v>32</v>
      </c>
      <c r="C10" s="4" t="s">
        <v>33</v>
      </c>
      <c r="D10" s="21" t="s">
        <v>34</v>
      </c>
      <c r="E10" s="15">
        <v>13500</v>
      </c>
    </row>
    <row r="11" spans="2:5">
      <c r="B11" s="4" t="s">
        <v>35</v>
      </c>
      <c r="C11" s="4" t="s">
        <v>36</v>
      </c>
      <c r="D11" s="21" t="s">
        <v>28</v>
      </c>
      <c r="E11" s="15">
        <v>360000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D9640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