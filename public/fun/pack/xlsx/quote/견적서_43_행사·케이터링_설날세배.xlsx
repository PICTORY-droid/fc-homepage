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<sst xmlns="http://schemas.openxmlformats.org/spreadsheetml/2006/main" count="76" uniqueCount="62">
  <si>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</si>
  <si>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설날 세배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</si>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</sst>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31920"/>
      <name val="맑은 고딕"/>
      <family val="2"/>
    </font>
    <font>
      <i/>
      <sz val="10"/>
      <color rgb="FF8D344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3192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D3443"/>
      <name val="맑은 고딕"/>
      <family val="2"/>
    </font>
    <font>
      <b/>
      <sz val="14"/>
      <color rgb="FF431920"/>
      <name val="맑은 고딕"/>
      <family val="2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  <fill>
      <patternFill patternType="solid">
        <fgColor rgb="FFF0D1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D3443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/>
      <right/>
      <top style="medium">
        <color rgb="FF8D344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3671800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1인분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12000</v>
      </c>
      <c r="H13" s="16">
        <f>IF(OR(E13="",G13=""),"",E13*G13)</f>
        <v>24000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1인분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6000</v>
      </c>
      <c r="H14" s="16">
        <f>IF(OR(E14="",G14=""),"",E14*G14)</f>
        <v>24000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1세트</v>
      </c>
      <c r="E15" s="13">
        <v>6</v>
      </c>
      <c r="F15" s="14" t="str">
        <f>IFERROR(INDEX('단가표'!$D$4:$D$33,MATCH(C15,'단가표'!$B$4:$B$33,0)),"")</f>
        <v>세트</v>
      </c>
      <c r="G15" s="15">
        <f>IFERROR(INDEX('단가표'!$E$4:$E$33,MATCH(C15,'단가표'!$B$4:$B$33,0)),"")</f>
        <v>15000</v>
      </c>
      <c r="H15" s="16">
        <f>IF(OR(E15="",G15=""),"",E15*G15)</f>
        <v>90000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2시간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400000</v>
      </c>
      <c r="H16" s="16">
        <f>IF(OR(E16="",G16=""),"",E16*G16)</f>
        <v>3200000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3338000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3338000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333800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3671800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6000</v>
      </c>
    </row>
    <row r="6" spans="2:5">
      <c r="B6" s="4" t="s">
        <v>23</v>
      </c>
      <c r="C6" s="4" t="s">
        <v>24</v>
      </c>
      <c r="D6" s="21" t="s">
        <v>25</v>
      </c>
      <c r="E6" s="15">
        <v>15000</v>
      </c>
    </row>
    <row r="7" spans="2:5">
      <c r="B7" s="4" t="s">
        <v>26</v>
      </c>
      <c r="C7" s="4" t="s">
        <v>27</v>
      </c>
      <c r="D7" s="21" t="s">
        <v>28</v>
      </c>
      <c r="E7" s="15">
        <v>400000</v>
      </c>
    </row>
    <row r="8" spans="2:5">
      <c r="B8" s="4" t="s">
        <v>29</v>
      </c>
      <c r="C8" s="4" t="s">
        <v>30</v>
      </c>
      <c r="D8" s="21" t="s">
        <v>21</v>
      </c>
      <c r="E8" s="15">
        <v>30000</v>
      </c>
    </row>
    <row r="9" spans="2:5">
      <c r="B9" s="4" t="s">
        <v>31</v>
      </c>
      <c r="C9" s="4" t="s">
        <v>32</v>
      </c>
      <c r="D9" s="21" t="s">
        <v>33</v>
      </c>
      <c r="E9" s="15">
        <v>500000</v>
      </c>
    </row>
    <row r="10" spans="2:5">
      <c r="B10" s="4" t="s">
        <v>34</v>
      </c>
      <c r="C10" s="4" t="s">
        <v>32</v>
      </c>
      <c r="D10" s="21" t="s">
        <v>33</v>
      </c>
      <c r="E10" s="15">
        <v>250000</v>
      </c>
    </row>
    <row r="11" spans="2:5">
      <c r="B11" s="4" t="s">
        <v>35</v>
      </c>
      <c r="C11" s="4" t="s">
        <v>36</v>
      </c>
      <c r="D11" s="21" t="s">
        <v>28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