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<sst xmlns="http://schemas.openxmlformats.org/spreadsheetml/2006/main" count="78" uniqueCount="61">
  <si>
    <t>인테리어·시공 견적서</t>
  </si>
  <si>
    <t>“이른 새벽부터 준비하는 마음으로”</t>
  </si>
  <si>
    <t>새벽 시장 김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</si>
  <si>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</si>
  <si>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</si>
  <si>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</si>
  <si>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</si>
  <si>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</si>
  <si>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</si>
  <si>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</si>
  <si>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</si>
  <si>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</si>
  <si>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</si>
  <si>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</si>
  <si>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</si>
  <si>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</si>
  <si>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</si>
  <si>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</si>
  <si>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</si>
  <si>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</si>
  <si>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장판 시공</t>
  </si>
  <si>
    <t>㎡당</t>
  </si>
  <si>
    <t>㎡</t>
  </si>
  <si>
    <t>조명 교체</t>
  </si>
  <si>
    <t>LED 1구</t>
  </si>
  <si>
    <t>개</t>
  </si>
  <si>
    <t>타일 시공</t>
  </si>
  <si>
    <t>페인트(벽면)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</si>
  <si>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</si>
  <si>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</si>
  <si>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</si>
  <si>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</si>
  <si>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</si>
  <si>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</si>
  <si>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</si>
  <si>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도배(실크)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</si>
  <si>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</si>
  <si>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</si>
  <si>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</si>
  <si>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</si>
  <si>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</si>
  <si>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</si>
  <si>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</si>
  <si>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</si>
  <si>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</si>
  <si>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</si>
  <si>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</si>
  <si>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</si>
  <si>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</si>
  <si>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</si>
  <si>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</si>
  <si>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</si>
  <si>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</si>
  <si>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</si>
  <si>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</si>
  <si>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</si>
  <si>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</si>
  <si>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</si>
  <si>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</si>
  <si>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</si>
  <si>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  ·  이른 새벽부터 준비하는 마음으로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</si>
</sst>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253A41"/>
      <name val="맑은 고딕"/>
      <family val="2"/>
    </font>
    <font>
      <i/>
      <sz val="10"/>
      <color rgb="FF497483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253A4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497483"/>
      <name val="맑은 고딕"/>
      <family val="2"/>
    </font>
    <font>
      <b/>
      <sz val="14"/>
      <color rgb="FF253A41"/>
      <name val="맑은 고딕"/>
      <family val="2"/>
    </font>
    <font>
      <b/>
      <sz val="22"/>
      <color rgb="FF253A41"/>
      <name val="맑은 고딕"/>
      <family val="2"/>
    </font>
    <font>
      <i/>
      <sz val="11"/>
      <color rgb="FF497483"/>
      <name val="맑은 고딕"/>
      <family val="2"/>
    </font>
    <font>
      <sz val="9"/>
      <color rgb="FF777777"/>
      <name val="맑은 고딕"/>
      <family val="2"/>
    </font>
    <font>
      <b/>
      <sz val="10"/>
      <color rgb="FF253A41"/>
      <name val="맑은 고딕"/>
      <family val="2"/>
    </font>
    <font>
      <sz val="9"/>
      <color rgb="FF497483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483"/>
        <bgColor indexed="64"/>
      </patternFill>
    </fill>
    <fill>
      <patternFill patternType="solid">
        <fgColor rgb="FFF2F6F8"/>
        <bgColor indexed="64"/>
      </patternFill>
    </fill>
    <fill>
      <patternFill patternType="solid">
        <fgColor rgb="FF253A41"/>
        <bgColor indexed="64"/>
      </patternFill>
    </fill>
    <fill>
      <patternFill patternType="solid">
        <fgColor rgb="FFD6E5E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97483"/>
      </bottom>
      <diagonal/>
    </border>
    <border>
      <left style="thin">
        <color rgb="FF253A41"/>
      </left>
      <right style="thin">
        <color rgb="FF253A41"/>
      </right>
      <top style="thin">
        <color rgb="FF253A41"/>
      </top>
      <bottom style="thin">
        <color rgb="FF253A41"/>
      </bottom>
      <diagonal/>
    </border>
    <border>
      <left style="thin">
        <color rgb="FF497483"/>
      </left>
      <right style="thin">
        <color rgb="FF497483"/>
      </right>
      <top style="thin">
        <color rgb="FF497483"/>
      </top>
      <bottom style="thin">
        <color rgb="FF497483"/>
      </bottom>
      <diagonal/>
    </border>
    <border>
      <left style="thin">
        <color rgb="FFD6E5EA"/>
      </left>
      <right style="thin">
        <color rgb="FFD6E5EA"/>
      </right>
      <top style="thin">
        <color rgb="FFD6E5EA"/>
      </top>
      <bottom style="thin">
        <color rgb="FFD6E5EA"/>
      </bottom>
      <diagonal/>
    </border>
    <border>
      <left/>
      <right/>
      <top style="medium">
        <color rgb="FF49748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36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37</v>
      </c>
      <c r="C4" s="4"/>
      <c r="D4" s="4"/>
      <c r="E4" s="3" t="s">
        <v>38</v>
      </c>
      <c r="F4" s="4"/>
      <c r="G4" s="4"/>
      <c r="H4" s="4"/>
    </row>
    <row r="5" spans="2:8">
      <c r="B5" s="3" t="s">
        <v>39</v>
      </c>
      <c r="C5" s="4"/>
      <c r="D5" s="4"/>
      <c r="E5" s="3" t="s">
        <v>40</v>
      </c>
      <c r="F5" s="4"/>
      <c r="G5" s="4"/>
      <c r="H5" s="4"/>
    </row>
    <row r="6" spans="2:8">
      <c r="B6" s="3" t="s">
        <v>41</v>
      </c>
      <c r="C6" s="5">
        <f>TODAY()</f>
        <v>0</v>
      </c>
      <c r="D6" s="4"/>
      <c r="E6" s="3" t="s">
        <v>42</v>
      </c>
      <c r="F6" s="4"/>
      <c r="G6" s="4"/>
      <c r="H6" s="4"/>
    </row>
    <row r="7" spans="2:8">
      <c r="B7" s="3" t="s">
        <v>43</v>
      </c>
      <c r="C7" s="6">
        <v>30</v>
      </c>
      <c r="D7" s="7">
        <f>IF(C6="","",C6+C7)</f>
        <v>0</v>
      </c>
      <c r="E7" s="3" t="s">
        <v>44</v>
      </c>
      <c r="F7" s="4"/>
      <c r="G7" s="4"/>
      <c r="H7" s="4"/>
    </row>
    <row r="8" spans="2:8">
      <c r="B8" s="3" t="s">
        <v>45</v>
      </c>
      <c r="C8" s="4" t="s">
        <v>47</v>
      </c>
      <c r="D8" s="4"/>
      <c r="E8" s="3" t="s">
        <v>46</v>
      </c>
      <c r="F8" s="4"/>
      <c r="G8" s="4"/>
      <c r="H8" s="4"/>
    </row>
    <row r="10" spans="2:8" ht="32" customHeight="1">
      <c r="B10" s="8" t="s">
        <v>48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49</v>
      </c>
      <c r="C12" s="10" t="s">
        <v>16</v>
      </c>
      <c r="D12" s="10" t="s">
        <v>17</v>
      </c>
      <c r="E12" s="10" t="s">
        <v>50</v>
      </c>
      <c r="F12" s="10" t="s">
        <v>18</v>
      </c>
      <c r="G12" s="10" t="s">
        <v>19</v>
      </c>
      <c r="H12" s="10" t="s">
        <v>51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52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53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54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55</v>
      </c>
      <c r="C31" s="14"/>
      <c r="D31" s="14"/>
      <c r="E31" s="14"/>
      <c r="F31" s="21" t="s">
        <v>56</v>
      </c>
      <c r="G31" s="12"/>
      <c r="H31" s="16">
        <f>IF(F31="별도",ROUND(H30*0.1,0),IF(F31="포함",ROUND(H30/11,0),0))</f>
        <v>0</v>
      </c>
    </row>
    <row r="32" spans="2:8">
      <c r="B32" s="17" t="s">
        <v>57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58</v>
      </c>
      <c r="C33" s="23" t="s">
        <v>59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60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3495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23000</v>
      </c>
    </row>
    <row r="5" spans="2:5">
      <c r="B5" s="4" t="s">
        <v>23</v>
      </c>
      <c r="C5" s="4" t="s">
        <v>24</v>
      </c>
      <c r="D5" s="21" t="s">
        <v>25</v>
      </c>
      <c r="E5" s="15">
        <v>41400</v>
      </c>
    </row>
    <row r="6" spans="2:5">
      <c r="B6" s="4" t="s">
        <v>26</v>
      </c>
      <c r="C6" s="4" t="s">
        <v>21</v>
      </c>
      <c r="D6" s="21" t="s">
        <v>22</v>
      </c>
      <c r="E6" s="15">
        <v>55200</v>
      </c>
    </row>
    <row r="7" spans="2:5">
      <c r="B7" s="4" t="s">
        <v>27</v>
      </c>
      <c r="C7" s="4" t="s">
        <v>21</v>
      </c>
      <c r="D7" s="21" t="s">
        <v>22</v>
      </c>
      <c r="E7" s="15">
        <v>8300</v>
      </c>
    </row>
    <row r="8" spans="2:5">
      <c r="B8" s="4" t="s">
        <v>28</v>
      </c>
      <c r="C8" s="4" t="s">
        <v>29</v>
      </c>
      <c r="D8" s="21" t="s">
        <v>30</v>
      </c>
      <c r="E8" s="15">
        <v>276000</v>
      </c>
    </row>
    <row r="9" spans="2:5">
      <c r="B9" s="4" t="s">
        <v>31</v>
      </c>
      <c r="C9" s="4" t="s">
        <v>32</v>
      </c>
      <c r="D9" s="21" t="s">
        <v>33</v>
      </c>
      <c r="E9" s="15">
        <v>138000</v>
      </c>
    </row>
    <row r="10" spans="2:5">
      <c r="B10" s="4" t="s">
        <v>34</v>
      </c>
      <c r="C10" s="4" t="s">
        <v>29</v>
      </c>
      <c r="D10" s="21" t="s">
        <v>30</v>
      </c>
      <c r="E10" s="15">
        <v>184000</v>
      </c>
    </row>
    <row r="11" spans="2:5">
      <c r="B11" s="4" t="s">
        <v>35</v>
      </c>
      <c r="C11" s="4" t="s">
        <v>21</v>
      </c>
      <c r="D11" s="21" t="s">
        <v>22</v>
      </c>
      <c r="E11" s="15">
        <v>11000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