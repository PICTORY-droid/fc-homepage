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<sst xmlns="http://schemas.openxmlformats.org/spreadsheetml/2006/main" count="78" uniqueCount="64">
  <si>
    <t>교육·강의 견적서</t>
  </si>
  <si>
    <t>“노란 약속, 정직한 가격으로 답합니다”</t>
  </si>
  <si>
    <t>유채꽃 들판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</si>
  <si>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</si>
  <si>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</si>
  <si>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</si>
  <si>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</si>
  <si>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</si>
  <si>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</si>
  <si>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</si>
  <si>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</si>
  <si>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</si>
  <si>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</si>
  <si>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</si>
  <si>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</si>
  <si>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</si>
  <si>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</si>
  <si>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</si>
  <si>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</si>
  <si>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</si>
  <si>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직무 교육(특강)</t>
  </si>
  <si>
    <t>2시간</t>
  </si>
  <si>
    <t>회</t>
  </si>
  <si>
    <t>워크숍 진행</t>
  </si>
  <si>
    <t>반일</t>
  </si>
  <si>
    <t>교재 제작</t>
  </si>
  <si>
    <t>권당</t>
  </si>
  <si>
    <t>권</t>
  </si>
  <si>
    <t>강사료(정규)</t>
  </si>
  <si>
    <t>시간당</t>
  </si>
  <si>
    <t>시간</t>
  </si>
  <si>
    <t>온라인 강의 제작</t>
  </si>
  <si>
    <t>분당</t>
  </si>
  <si>
    <t>분</t>
  </si>
  <si>
    <t>수료증 발급</t>
  </si>
  <si>
    <t>인당</t>
  </si>
  <si>
    <t>명</t>
  </si>
  <si>
    <t>교육장 대관</t>
  </si>
  <si>
    <t>다과·간식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</si>
  <si>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</si>
  <si>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</si>
  <si>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</si>
  <si>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</si>
  <si>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</si>
  <si>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</si>
  <si>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</si>
  <si>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</si>
  <si>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</si>
  <si>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</si>
  <si>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</si>
  <si>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교육·강의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</si>
  <si>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</si>
  <si>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</si>
  <si>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</si>
  <si>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</si>
  <si>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</si>
  <si>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</si>
  <si>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</si>
  <si>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</si>
  <si>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</si>
  <si>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</si>
  <si>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</si>
  <si>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수강 인원과 일정에 따라 금액이 달라질 수 있습니다.
• 결제: 교육 종료 후 7일 이내 계산서 발행·입금</t>
  </si>
  <si>
    <t>믿고 맡겨 주셔서 감사합니다.  ·  노란 약속, 정직한 가격으로 답합니다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</si>
</sst>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605610"/>
      <name val="맑은 고딕"/>
      <family val="2"/>
    </font>
    <font>
      <i/>
      <sz val="10"/>
      <color rgb="FFB8A41E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B8A41E"/>
      <name val="맑은 고딕"/>
      <family val="2"/>
    </font>
    <font>
      <b/>
      <sz val="14"/>
      <color rgb="FF605610"/>
      <name val="맑은 고딕"/>
      <family val="2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CFAED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8F2C9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B8A41E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39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40</v>
      </c>
      <c r="C4" s="4"/>
      <c r="D4" s="4"/>
      <c r="E4" s="3" t="s">
        <v>41</v>
      </c>
      <c r="F4" s="4"/>
      <c r="G4" s="4"/>
      <c r="H4" s="4"/>
    </row>
    <row r="5" spans="2:8">
      <c r="B5" s="3" t="s">
        <v>42</v>
      </c>
      <c r="C5" s="4"/>
      <c r="D5" s="4"/>
      <c r="E5" s="3" t="s">
        <v>43</v>
      </c>
      <c r="F5" s="4"/>
      <c r="G5" s="4"/>
      <c r="H5" s="4"/>
    </row>
    <row r="6" spans="2:8">
      <c r="B6" s="3" t="s">
        <v>44</v>
      </c>
      <c r="C6" s="5">
        <f>TODAY()</f>
        <v>0</v>
      </c>
      <c r="D6" s="4"/>
      <c r="E6" s="3" t="s">
        <v>45</v>
      </c>
      <c r="F6" s="4"/>
      <c r="G6" s="4"/>
      <c r="H6" s="4"/>
    </row>
    <row r="7" spans="2:8">
      <c r="B7" s="3" t="s">
        <v>46</v>
      </c>
      <c r="C7" s="6">
        <v>30</v>
      </c>
      <c r="D7" s="7">
        <f>IF(C6="","",C6+C7)</f>
        <v>0</v>
      </c>
      <c r="E7" s="3" t="s">
        <v>47</v>
      </c>
      <c r="F7" s="4"/>
      <c r="G7" s="4"/>
      <c r="H7" s="4"/>
    </row>
    <row r="8" spans="2:8">
      <c r="B8" s="3" t="s">
        <v>48</v>
      </c>
      <c r="C8" s="4" t="s">
        <v>50</v>
      </c>
      <c r="D8" s="4"/>
      <c r="E8" s="3" t="s">
        <v>49</v>
      </c>
      <c r="F8" s="4"/>
      <c r="G8" s="4"/>
      <c r="H8" s="4"/>
    </row>
    <row r="10" spans="2:8" ht="32" customHeight="1">
      <c r="B10" s="8" t="s">
        <v>51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52</v>
      </c>
      <c r="C12" s="10" t="s">
        <v>16</v>
      </c>
      <c r="D12" s="10" t="s">
        <v>17</v>
      </c>
      <c r="E12" s="10" t="s">
        <v>53</v>
      </c>
      <c r="F12" s="10" t="s">
        <v>18</v>
      </c>
      <c r="G12" s="10" t="s">
        <v>19</v>
      </c>
      <c r="H12" s="10" t="s">
        <v>54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55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56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57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58</v>
      </c>
      <c r="C31" s="14"/>
      <c r="D31" s="14"/>
      <c r="E31" s="14"/>
      <c r="F31" s="21" t="s">
        <v>59</v>
      </c>
      <c r="G31" s="12"/>
      <c r="H31" s="16">
        <f>IF(F31="별도",ROUND(H30*0.1,0),IF(F31="포함",ROUND(H30/11,0),0))</f>
        <v>0</v>
      </c>
    </row>
    <row r="32" spans="2:8">
      <c r="B32" s="17" t="s">
        <v>60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61</v>
      </c>
      <c r="C33" s="23" t="s">
        <v>62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63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71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400000</v>
      </c>
    </row>
    <row r="5" spans="2:5">
      <c r="B5" s="4" t="s">
        <v>23</v>
      </c>
      <c r="C5" s="4" t="s">
        <v>24</v>
      </c>
      <c r="D5" s="21" t="s">
        <v>22</v>
      </c>
      <c r="E5" s="15">
        <v>800000</v>
      </c>
    </row>
    <row r="6" spans="2:5">
      <c r="B6" s="4" t="s">
        <v>25</v>
      </c>
      <c r="C6" s="4" t="s">
        <v>26</v>
      </c>
      <c r="D6" s="21" t="s">
        <v>27</v>
      </c>
      <c r="E6" s="15">
        <v>8000</v>
      </c>
    </row>
    <row r="7" spans="2:5">
      <c r="B7" s="4" t="s">
        <v>28</v>
      </c>
      <c r="C7" s="4" t="s">
        <v>29</v>
      </c>
      <c r="D7" s="21" t="s">
        <v>30</v>
      </c>
      <c r="E7" s="15">
        <v>100000</v>
      </c>
    </row>
    <row r="8" spans="2:5">
      <c r="B8" s="4" t="s">
        <v>31</v>
      </c>
      <c r="C8" s="4" t="s">
        <v>32</v>
      </c>
      <c r="D8" s="21" t="s">
        <v>33</v>
      </c>
      <c r="E8" s="15">
        <v>30000</v>
      </c>
    </row>
    <row r="9" spans="2:5">
      <c r="B9" s="4" t="s">
        <v>34</v>
      </c>
      <c r="C9" s="4" t="s">
        <v>35</v>
      </c>
      <c r="D9" s="21" t="s">
        <v>36</v>
      </c>
      <c r="E9" s="15">
        <v>1000</v>
      </c>
    </row>
    <row r="10" spans="2:5">
      <c r="B10" s="4" t="s">
        <v>37</v>
      </c>
      <c r="C10" s="4" t="s">
        <v>29</v>
      </c>
      <c r="D10" s="21" t="s">
        <v>30</v>
      </c>
      <c r="E10" s="15">
        <v>50000</v>
      </c>
    </row>
    <row r="11" spans="2:5">
      <c r="B11" s="4" t="s">
        <v>38</v>
      </c>
      <c r="C11" s="4" t="s">
        <v>35</v>
      </c>
      <c r="D11" s="21" t="s">
        <v>36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교육·강의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