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<sst xmlns="http://schemas.openxmlformats.org/spreadsheetml/2006/main" count="76" uniqueCount="66">
  <si>
    <t>디자인·제작 견적서</t>
  </si>
  <si>
    <t>아카시아 향기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</si>
  <si>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</si>
  <si>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</si>
  <si>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</si>
  <si>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</si>
  <si>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</si>
  <si>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</si>
  <si>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</si>
  <si>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</si>
  <si>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</si>
  <si>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</si>
  <si>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</si>
  <si>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</si>
  <si>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</si>
  <si>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</si>
  <si>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</si>
  <si>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</si>
  <si>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</si>
  <si>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현수막 제작</t>
  </si>
  <si>
    <t>㎡당</t>
  </si>
  <si>
    <t>㎡</t>
  </si>
  <si>
    <t>브로슈어 디자인</t>
  </si>
  <si>
    <t>8p</t>
  </si>
  <si>
    <t>건</t>
  </si>
  <si>
    <t>상세페이지 제작</t>
  </si>
  <si>
    <t>1페이지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</si>
  <si>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</si>
  <si>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</si>
  <si>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</si>
  <si>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</si>
  <si>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</si>
  <si>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</si>
  <si>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</si>
  <si>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</si>
  <si>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</si>
  <si>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로고 디자인</t>
  </si>
  <si>
    <t>시안 3종</t>
  </si>
  <si>
    <t>명함 디자인·인쇄</t>
  </si>
  <si>
    <t>200매</t>
  </si>
  <si>
    <t>식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</si>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</sst>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49562E"/>
      <name val="맑은 고딕"/>
      <family val="2"/>
    </font>
    <font>
      <i/>
      <sz val="10"/>
      <color rgb="FF819852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49562E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819852"/>
      <name val="맑은 고딕"/>
      <family val="2"/>
    </font>
    <font>
      <b/>
      <sz val="14"/>
      <color rgb="FF49562E"/>
      <name val="맑은 고딕"/>
      <family val="2"/>
    </font>
    <font>
      <b/>
      <sz val="22"/>
      <color rgb="FF49562E"/>
      <name val="맑은 고딕"/>
      <family val="2"/>
    </font>
    <font>
      <i/>
      <sz val="11"/>
      <color rgb="FF819852"/>
      <name val="맑은 고딕"/>
      <family val="2"/>
    </font>
    <font>
      <sz val="9"/>
      <color rgb="FF777777"/>
      <name val="맑은 고딕"/>
      <family val="2"/>
    </font>
    <font>
      <b/>
      <sz val="10"/>
      <color rgb="FF49562E"/>
      <name val="맑은 고딕"/>
      <family val="2"/>
    </font>
    <font>
      <sz val="9"/>
      <color rgb="FF819852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19852"/>
        <bgColor indexed="64"/>
      </patternFill>
    </fill>
    <fill>
      <patternFill patternType="solid">
        <fgColor rgb="FFF6F8F2"/>
        <bgColor indexed="64"/>
      </patternFill>
    </fill>
    <fill>
      <patternFill patternType="solid">
        <fgColor rgb="FF49562E"/>
        <bgColor indexed="64"/>
      </patternFill>
    </fill>
    <fill>
      <patternFill patternType="solid">
        <fgColor rgb="FFE4EBD6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819852"/>
      </bottom>
      <diagonal/>
    </border>
    <border>
      <left style="thin">
        <color rgb="FF49562E"/>
      </left>
      <right style="thin">
        <color rgb="FF49562E"/>
      </right>
      <top style="thin">
        <color rgb="FF49562E"/>
      </top>
      <bottom style="thin">
        <color rgb="FF49562E"/>
      </bottom>
      <diagonal/>
    </border>
    <border>
      <left style="thin">
        <color rgb="FF819852"/>
      </left>
      <right style="thin">
        <color rgb="FF819852"/>
      </right>
      <top style="thin">
        <color rgb="FF819852"/>
      </top>
      <bottom style="thin">
        <color rgb="FF819852"/>
      </bottom>
      <diagonal/>
    </border>
    <border>
      <left style="thin">
        <color rgb="FFE4EBD6"/>
      </left>
      <right style="thin">
        <color rgb="FFE4EBD6"/>
      </right>
      <top style="thin">
        <color rgb="FFE4EBD6"/>
      </top>
      <bottom style="thin">
        <color rgb="FFE4EBD6"/>
      </bottom>
      <diagonal/>
    </border>
    <border>
      <left/>
      <right/>
      <top style="medium">
        <color rgb="FF819852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41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42</v>
      </c>
      <c r="C4" s="4"/>
      <c r="D4" s="4"/>
      <c r="E4" s="3" t="s">
        <v>43</v>
      </c>
      <c r="F4" s="4"/>
      <c r="G4" s="4"/>
      <c r="H4" s="4"/>
    </row>
    <row r="5" spans="2:8">
      <c r="B5" s="3" t="s">
        <v>44</v>
      </c>
      <c r="C5" s="4"/>
      <c r="D5" s="4"/>
      <c r="E5" s="3" t="s">
        <v>45</v>
      </c>
      <c r="F5" s="4"/>
      <c r="G5" s="4"/>
      <c r="H5" s="4"/>
    </row>
    <row r="6" spans="2:8">
      <c r="B6" s="3" t="s">
        <v>46</v>
      </c>
      <c r="C6" s="5">
        <f>TODAY()</f>
        <v>0</v>
      </c>
      <c r="D6" s="4"/>
      <c r="E6" s="3" t="s">
        <v>47</v>
      </c>
      <c r="F6" s="4"/>
      <c r="G6" s="4"/>
      <c r="H6" s="4"/>
    </row>
    <row r="7" spans="2:8">
      <c r="B7" s="3" t="s">
        <v>48</v>
      </c>
      <c r="C7" s="6">
        <v>30</v>
      </c>
      <c r="D7" s="7">
        <f>IF(C6="","",C6+C7)</f>
        <v>0</v>
      </c>
      <c r="E7" s="3" t="s">
        <v>49</v>
      </c>
      <c r="F7" s="4"/>
      <c r="G7" s="4"/>
      <c r="H7" s="4"/>
    </row>
    <row r="8" spans="2:8">
      <c r="B8" s="3" t="s">
        <v>50</v>
      </c>
      <c r="C8" s="4" t="s">
        <v>52</v>
      </c>
      <c r="D8" s="4"/>
      <c r="E8" s="3" t="s">
        <v>51</v>
      </c>
      <c r="F8" s="4"/>
      <c r="G8" s="4"/>
      <c r="H8" s="4"/>
    </row>
    <row r="10" spans="2:8" ht="32" customHeight="1">
      <c r="B10" s="8" t="s">
        <v>53</v>
      </c>
      <c r="C10" s="8"/>
      <c r="D10" s="9">
        <f>H32</f>
        <v>8391240</v>
      </c>
      <c r="E10" s="9"/>
      <c r="F10" s="9"/>
      <c r="G10" s="9"/>
      <c r="H10" s="9"/>
    </row>
    <row r="12" spans="2:8">
      <c r="B12" s="10" t="s">
        <v>54</v>
      </c>
      <c r="C12" s="10" t="s">
        <v>15</v>
      </c>
      <c r="D12" s="10" t="s">
        <v>16</v>
      </c>
      <c r="E12" s="10" t="s">
        <v>55</v>
      </c>
      <c r="F12" s="10" t="s">
        <v>17</v>
      </c>
      <c r="G12" s="10" t="s">
        <v>18</v>
      </c>
      <c r="H12" s="10" t="s">
        <v>56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㎡당</v>
      </c>
      <c r="E13" s="13">
        <v>2</v>
      </c>
      <c r="F13" s="14" t="str">
        <f>IFERROR(INDEX('단가표'!$D$4:$D$33,MATCH(C13,'단가표'!$B$4:$B$33,0)),"")</f>
        <v>㎡</v>
      </c>
      <c r="G13" s="15">
        <f>IFERROR(INDEX('단가표'!$E$4:$E$33,MATCH(C13,'단가표'!$B$4:$B$33,0)),"")</f>
        <v>14200</v>
      </c>
      <c r="H13" s="16">
        <f>IF(OR(E13="",G13=""),"",E13*G13)</f>
        <v>28400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8p</v>
      </c>
      <c r="E14" s="13">
        <v>4</v>
      </c>
      <c r="F14" s="14" t="str">
        <f>IFERROR(INDEX('단가표'!$D$4:$D$33,MATCH(C14,'단가표'!$B$4:$B$33,0)),"")</f>
        <v>건</v>
      </c>
      <c r="G14" s="15">
        <f>IFERROR(INDEX('단가표'!$E$4:$E$33,MATCH(C14,'단가표'!$B$4:$B$33,0)),"")</f>
        <v>665000</v>
      </c>
      <c r="H14" s="16">
        <f>IF(OR(E14="",G14=""),"",E14*G14)</f>
        <v>2660000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1페이지</v>
      </c>
      <c r="E15" s="13">
        <v>6</v>
      </c>
      <c r="F15" s="14" t="str">
        <f>IFERROR(INDEX('단가표'!$D$4:$D$33,MATCH(C15,'단가표'!$B$4:$B$33,0)),"")</f>
        <v>건</v>
      </c>
      <c r="G15" s="15">
        <f>IFERROR(INDEX('단가표'!$E$4:$E$33,MATCH(C15,'단가표'!$B$4:$B$33,0)),"")</f>
        <v>380000</v>
      </c>
      <c r="H15" s="16">
        <f>IF(OR(E15="",G15=""),"",E15*G15)</f>
        <v>2280000</v>
      </c>
    </row>
    <row r="16" spans="2:8">
      <c r="B16" s="11">
        <v>4</v>
      </c>
      <c r="C16" s="4" t="s">
        <v>27</v>
      </c>
      <c r="D16" s="12" t="str">
        <f>IFERROR(INDEX('단가표'!$C$4:$C$33,MATCH(C16,'단가표'!$B$4:$B$33,0)),"")</f>
        <v>반일</v>
      </c>
      <c r="E16" s="13">
        <v>8</v>
      </c>
      <c r="F16" s="14" t="str">
        <f>IFERROR(INDEX('단가표'!$D$4:$D$33,MATCH(C16,'단가표'!$B$4:$B$33,0)),"")</f>
        <v>회</v>
      </c>
      <c r="G16" s="15">
        <f>IFERROR(INDEX('단가표'!$E$4:$E$33,MATCH(C16,'단가표'!$B$4:$B$33,0)),"")</f>
        <v>332500</v>
      </c>
      <c r="H16" s="16">
        <f>IF(OR(E16="",G16=""),"",E16*G16)</f>
        <v>2660000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57</v>
      </c>
      <c r="C28" s="17"/>
      <c r="D28" s="17"/>
      <c r="E28" s="17"/>
      <c r="F28" s="17"/>
      <c r="G28" s="17"/>
      <c r="H28" s="18">
        <f>SUM(H13:H27)</f>
        <v>7628400</v>
      </c>
    </row>
    <row r="29" spans="2:8">
      <c r="B29" s="14" t="s">
        <v>58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59</v>
      </c>
      <c r="C30" s="19"/>
      <c r="D30" s="19"/>
      <c r="E30" s="19"/>
      <c r="F30" s="19"/>
      <c r="G30" s="19"/>
      <c r="H30" s="20">
        <f>H28-H29</f>
        <v>7628400</v>
      </c>
    </row>
    <row r="31" spans="2:8">
      <c r="B31" s="14" t="s">
        <v>60</v>
      </c>
      <c r="C31" s="14"/>
      <c r="D31" s="14"/>
      <c r="E31" s="14"/>
      <c r="F31" s="21" t="s">
        <v>61</v>
      </c>
      <c r="G31" s="12"/>
      <c r="H31" s="16">
        <f>IF(F31="별도",ROUND(H30*0.1,0),IF(F31="포함",ROUND(H30/11,0),0))</f>
        <v>762840</v>
      </c>
    </row>
    <row r="32" spans="2:8">
      <c r="B32" s="17" t="s">
        <v>62</v>
      </c>
      <c r="C32" s="17"/>
      <c r="D32" s="17"/>
      <c r="E32" s="17"/>
      <c r="F32" s="17"/>
      <c r="G32" s="17"/>
      <c r="H32" s="22">
        <f>H30+IF(F31="별도",H31,0)</f>
        <v>8391240</v>
      </c>
    </row>
    <row r="33" spans="2:8">
      <c r="B33" s="3" t="s">
        <v>63</v>
      </c>
      <c r="C33" s="23" t="s">
        <v>64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65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75285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14200</v>
      </c>
    </row>
    <row r="5" spans="2:5">
      <c r="B5" s="4" t="s">
        <v>22</v>
      </c>
      <c r="C5" s="4" t="s">
        <v>23</v>
      </c>
      <c r="D5" s="21" t="s">
        <v>24</v>
      </c>
      <c r="E5" s="15">
        <v>665000</v>
      </c>
    </row>
    <row r="6" spans="2:5">
      <c r="B6" s="4" t="s">
        <v>25</v>
      </c>
      <c r="C6" s="4" t="s">
        <v>26</v>
      </c>
      <c r="D6" s="21" t="s">
        <v>24</v>
      </c>
      <c r="E6" s="15">
        <v>380000</v>
      </c>
    </row>
    <row r="7" spans="2:5">
      <c r="B7" s="4" t="s">
        <v>27</v>
      </c>
      <c r="C7" s="4" t="s">
        <v>28</v>
      </c>
      <c r="D7" s="21" t="s">
        <v>29</v>
      </c>
      <c r="E7" s="15">
        <v>332500</v>
      </c>
    </row>
    <row r="8" spans="2:5">
      <c r="B8" s="4" t="s">
        <v>30</v>
      </c>
      <c r="C8" s="4" t="s">
        <v>31</v>
      </c>
      <c r="D8" s="21" t="s">
        <v>32</v>
      </c>
      <c r="E8" s="15">
        <v>76000</v>
      </c>
    </row>
    <row r="9" spans="2:5">
      <c r="B9" s="4" t="s">
        <v>33</v>
      </c>
      <c r="C9" s="4" t="s">
        <v>34</v>
      </c>
      <c r="D9" s="21" t="s">
        <v>35</v>
      </c>
      <c r="E9" s="15">
        <v>38000</v>
      </c>
    </row>
    <row r="10" spans="2:5">
      <c r="B10" s="4" t="s">
        <v>36</v>
      </c>
      <c r="C10" s="4" t="s">
        <v>37</v>
      </c>
      <c r="D10" s="21" t="s">
        <v>24</v>
      </c>
      <c r="E10" s="15">
        <v>475000</v>
      </c>
    </row>
    <row r="11" spans="2:5">
      <c r="B11" s="4" t="s">
        <v>38</v>
      </c>
      <c r="C11" s="4" t="s">
        <v>39</v>
      </c>
      <c r="D11" s="21" t="s">
        <v>40</v>
      </c>
      <c r="E11" s="15">
        <v>57000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반딧불이의 곳간</dc:creator>
  <dc:description>자유롭게 편집해서 사용하세요.</dc:description>
  <cp:lastModifiedBy>반딧불이의 곳간</cp:lastModifiedBy>
  <dcterms:created xsi:type="dcterms:W3CDTF">2026-10-22T07:17:04Z</dcterms:created>
  <dcterms:modified xsi:type="dcterms:W3CDTF">2026-10-22T07:17:04Z</dcterms:modified>
</cp:coreProperties>
</file>