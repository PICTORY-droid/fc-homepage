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<sst xmlns="http://schemas.openxmlformats.org/spreadsheetml/2006/main" count="78" uniqueCount="64">
  <si>
    <t>일반 상품 공급 견적서</t>
  </si>
  <si>
    <t>“필요한 비용만 구성했습니다”</t>
  </si>
  <si>
    <t>한지 등불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</si>
  <si>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</si>
  <si>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</si>
  <si>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</si>
  <si>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</si>
  <si>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</si>
  <si>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</si>
  <si>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</si>
  <si>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</si>
  <si>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</si>
  <si>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</si>
  <si>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</si>
  <si>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</si>
  <si>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</si>
  <si>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</si>
  <si>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</si>
  <si>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</si>
  <si>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</si>
  <si>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A형 상품</t>
  </si>
  <si>
    <t>1개</t>
  </si>
  <si>
    <t>개</t>
  </si>
  <si>
    <t>B형 상품</t>
  </si>
  <si>
    <t>C형 상품</t>
  </si>
  <si>
    <t>1박스</t>
  </si>
  <si>
    <t>박스</t>
  </si>
  <si>
    <t>선물 포장</t>
  </si>
  <si>
    <t>1건</t>
  </si>
  <si>
    <t>건</t>
  </si>
  <si>
    <t>배송비(택배)</t>
  </si>
  <si>
    <t>건당</t>
  </si>
  <si>
    <t>설치·조립</t>
  </si>
  <si>
    <t>부자재</t>
  </si>
  <si>
    <t>1세트</t>
  </si>
  <si>
    <t>세트</t>
  </si>
  <si>
    <t>A/S 보증 연장</t>
  </si>
  <si>
    <t>1년</t>
  </si>
  <si>
    <t>식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</si>
  <si>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</si>
  <si>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</si>
  <si>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</si>
  <si>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</si>
  <si>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</si>
  <si>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</si>
  <si>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</si>
  <si>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</si>
  <si>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</si>
  <si>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</si>
  <si>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</si>
  <si>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일반 상품 공급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</si>
  <si>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</si>
  <si>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</si>
  <si>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</si>
  <si>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</si>
  <si>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</si>
  <si>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</si>
  <si>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</si>
  <si>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</si>
  <si>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</si>
  <si>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</si>
  <si>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</si>
  <si>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재고 및 납기는 주문 시 확정됩니다.
• 결제: 주문 시 선결제 또는 납품 후 7일 이내</t>
  </si>
  <si>
    <t>믿고 맡겨 주셔서 감사합니다.  ·  필요한 비용만 구성했습니다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</si>
</sst>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7C5D27"/>
      <name val="맑은 고딕"/>
      <family val="2"/>
    </font>
    <font>
      <i/>
      <sz val="10"/>
      <color rgb="FFC49645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7C5D27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C49645"/>
      <name val="맑은 고딕"/>
      <family val="2"/>
    </font>
    <font>
      <b/>
      <sz val="14"/>
      <color rgb="FF7C5D27"/>
      <name val="맑은 고딕"/>
      <family val="2"/>
    </font>
    <font>
      <b/>
      <sz val="22"/>
      <color rgb="FF7C5D27"/>
      <name val="맑은 고딕"/>
      <family val="2"/>
    </font>
    <font>
      <i/>
      <sz val="11"/>
      <color rgb="FFC49645"/>
      <name val="맑은 고딕"/>
      <family val="2"/>
    </font>
    <font>
      <sz val="9"/>
      <color rgb="FF777777"/>
      <name val="맑은 고딕"/>
      <family val="2"/>
    </font>
    <font>
      <b/>
      <sz val="10"/>
      <color rgb="FF7C5D27"/>
      <name val="맑은 고딕"/>
      <family val="2"/>
    </font>
    <font>
      <sz val="9"/>
      <color rgb="FFC49645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C49645"/>
        <bgColor indexed="64"/>
      </patternFill>
    </fill>
    <fill>
      <patternFill patternType="solid">
        <fgColor rgb="FFFAF6EF"/>
        <bgColor indexed="64"/>
      </patternFill>
    </fill>
    <fill>
      <patternFill patternType="solid">
        <fgColor rgb="FF7C5D27"/>
        <bgColor indexed="64"/>
      </patternFill>
    </fill>
    <fill>
      <patternFill patternType="solid">
        <fgColor rgb="FFF2E5C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C49645"/>
      </bottom>
      <diagonal/>
    </border>
    <border>
      <left style="thin">
        <color rgb="FF7C5D27"/>
      </left>
      <right style="thin">
        <color rgb="FF7C5D27"/>
      </right>
      <top style="thin">
        <color rgb="FF7C5D27"/>
      </top>
      <bottom style="thin">
        <color rgb="FF7C5D27"/>
      </bottom>
      <diagonal/>
    </border>
    <border>
      <left style="thin">
        <color rgb="FFC49645"/>
      </left>
      <right style="thin">
        <color rgb="FFC49645"/>
      </right>
      <top style="thin">
        <color rgb="FFC49645"/>
      </top>
      <bottom style="thin">
        <color rgb="FFC49645"/>
      </bottom>
      <diagonal/>
    </border>
    <border>
      <left style="thin">
        <color rgb="FFF2E5CF"/>
      </left>
      <right style="thin">
        <color rgb="FFF2E5CF"/>
      </right>
      <top style="thin">
        <color rgb="FFF2E5CF"/>
      </top>
      <bottom style="thin">
        <color rgb="FFF2E5CF"/>
      </bottom>
      <diagonal/>
    </border>
    <border>
      <left/>
      <right/>
      <top style="medium">
        <color rgb="FFC49645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C49645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39</v>
      </c>
      <c r="C2" s="1"/>
      <c r="D2" s="1"/>
      <c r="E2" s="1"/>
      <c r="F2" s="1"/>
      <c r="G2" s="1"/>
      <c r="H2" s="1"/>
    </row>
    <row r="3" spans="2:8">
      <c r="B3" s="2" t="s">
        <v>1</v>
      </c>
      <c r="C3" s="2"/>
      <c r="D3" s="2"/>
      <c r="E3" s="2"/>
      <c r="F3" s="2"/>
      <c r="G3" s="2"/>
      <c r="H3" s="2"/>
    </row>
    <row r="4" spans="2:8">
      <c r="B4" s="3" t="s">
        <v>40</v>
      </c>
      <c r="C4" s="4"/>
      <c r="D4" s="4"/>
      <c r="E4" s="3" t="s">
        <v>41</v>
      </c>
      <c r="F4" s="4"/>
      <c r="G4" s="4"/>
      <c r="H4" s="4"/>
    </row>
    <row r="5" spans="2:8">
      <c r="B5" s="3" t="s">
        <v>42</v>
      </c>
      <c r="C5" s="4"/>
      <c r="D5" s="4"/>
      <c r="E5" s="3" t="s">
        <v>43</v>
      </c>
      <c r="F5" s="4"/>
      <c r="G5" s="4"/>
      <c r="H5" s="4"/>
    </row>
    <row r="6" spans="2:8">
      <c r="B6" s="3" t="s">
        <v>44</v>
      </c>
      <c r="C6" s="5">
        <f>TODAY()</f>
        <v>0</v>
      </c>
      <c r="D6" s="4"/>
      <c r="E6" s="3" t="s">
        <v>45</v>
      </c>
      <c r="F6" s="4"/>
      <c r="G6" s="4"/>
      <c r="H6" s="4"/>
    </row>
    <row r="7" spans="2:8">
      <c r="B7" s="3" t="s">
        <v>46</v>
      </c>
      <c r="C7" s="6">
        <v>30</v>
      </c>
      <c r="D7" s="7">
        <f>IF(C6="","",C6+C7)</f>
        <v>0</v>
      </c>
      <c r="E7" s="3" t="s">
        <v>47</v>
      </c>
      <c r="F7" s="4"/>
      <c r="G7" s="4"/>
      <c r="H7" s="4"/>
    </row>
    <row r="8" spans="2:8">
      <c r="B8" s="3" t="s">
        <v>48</v>
      </c>
      <c r="C8" s="4" t="s">
        <v>50</v>
      </c>
      <c r="D8" s="4"/>
      <c r="E8" s="3" t="s">
        <v>49</v>
      </c>
      <c r="F8" s="4"/>
      <c r="G8" s="4"/>
      <c r="H8" s="4"/>
    </row>
    <row r="10" spans="2:8" ht="32" customHeight="1">
      <c r="B10" s="8" t="s">
        <v>51</v>
      </c>
      <c r="C10" s="8"/>
      <c r="D10" s="9">
        <f>H32</f>
        <v>0</v>
      </c>
      <c r="E10" s="9"/>
      <c r="F10" s="9"/>
      <c r="G10" s="9"/>
      <c r="H10" s="9"/>
    </row>
    <row r="12" spans="2:8">
      <c r="B12" s="10" t="s">
        <v>52</v>
      </c>
      <c r="C12" s="10" t="s">
        <v>16</v>
      </c>
      <c r="D12" s="10" t="s">
        <v>17</v>
      </c>
      <c r="E12" s="10" t="s">
        <v>53</v>
      </c>
      <c r="F12" s="10" t="s">
        <v>18</v>
      </c>
      <c r="G12" s="10" t="s">
        <v>19</v>
      </c>
      <c r="H12" s="10" t="s">
        <v>54</v>
      </c>
    </row>
    <row r="13" spans="2:8">
      <c r="B13" s="11">
        <v>1</v>
      </c>
      <c r="C13" s="4" t="s">
        <v>20</v>
      </c>
      <c r="D13" s="12">
        <f>IFERROR(INDEX('단가표'!$C$4:$C$33,MATCH(C13,'단가표'!$B$4:$B$33,0)),"")</f>
        <v>0</v>
      </c>
      <c r="E13" s="13">
        <v>2</v>
      </c>
      <c r="F13" s="14">
        <f>IFERROR(INDEX('단가표'!$D$4:$D$33,MATCH(C13,'단가표'!$B$4:$B$33,0)),"")</f>
        <v>0</v>
      </c>
      <c r="G13" s="15">
        <f>IFERROR(INDEX('단가표'!$E$4:$E$33,MATCH(C13,'단가표'!$B$4:$B$33,0)),"")</f>
        <v>0</v>
      </c>
      <c r="H13" s="16">
        <f>IF(OR(E13="",G13=""),"",E13*G13)</f>
        <v>0</v>
      </c>
    </row>
    <row r="14" spans="2:8">
      <c r="B14" s="11">
        <v>2</v>
      </c>
      <c r="C14" s="4" t="s">
        <v>23</v>
      </c>
      <c r="D14" s="12">
        <f>IFERROR(INDEX('단가표'!$C$4:$C$33,MATCH(C14,'단가표'!$B$4:$B$33,0)),"")</f>
        <v>0</v>
      </c>
      <c r="E14" s="13">
        <v>4</v>
      </c>
      <c r="F14" s="14">
        <f>IFERROR(INDEX('단가표'!$D$4:$D$33,MATCH(C14,'단가표'!$B$4:$B$33,0)),"")</f>
        <v>0</v>
      </c>
      <c r="G14" s="15">
        <f>IFERROR(INDEX('단가표'!$E$4:$E$33,MATCH(C14,'단가표'!$B$4:$B$33,0)),"")</f>
        <v>0</v>
      </c>
      <c r="H14" s="16">
        <f>IF(OR(E14="",G14=""),"",E14*G14)</f>
        <v>0</v>
      </c>
    </row>
    <row r="15" spans="2:8">
      <c r="B15" s="11">
        <v>3</v>
      </c>
      <c r="C15" s="4" t="s">
        <v>24</v>
      </c>
      <c r="D15" s="12">
        <f>IFERROR(INDEX('단가표'!$C$4:$C$33,MATCH(C15,'단가표'!$B$4:$B$33,0)),"")</f>
        <v>0</v>
      </c>
      <c r="E15" s="13">
        <v>6</v>
      </c>
      <c r="F15" s="14">
        <f>IFERROR(INDEX('단가표'!$D$4:$D$33,MATCH(C15,'단가표'!$B$4:$B$33,0)),"")</f>
        <v>0</v>
      </c>
      <c r="G15" s="15">
        <f>IFERROR(INDEX('단가표'!$E$4:$E$33,MATCH(C15,'단가표'!$B$4:$B$33,0)),"")</f>
        <v>0</v>
      </c>
      <c r="H15" s="16">
        <f>IF(OR(E15="",G15=""),"",E15*G15)</f>
        <v>0</v>
      </c>
    </row>
    <row r="16" spans="2:8">
      <c r="B16" s="11">
        <v>4</v>
      </c>
      <c r="C16" s="4" t="s">
        <v>27</v>
      </c>
      <c r="D16" s="12">
        <f>IFERROR(INDEX('단가표'!$C$4:$C$33,MATCH(C16,'단가표'!$B$4:$B$33,0)),"")</f>
        <v>0</v>
      </c>
      <c r="E16" s="13">
        <v>8</v>
      </c>
      <c r="F16" s="14">
        <f>IFERROR(INDEX('단가표'!$D$4:$D$33,MATCH(C16,'단가표'!$B$4:$B$33,0)),"")</f>
        <v>0</v>
      </c>
      <c r="G16" s="15">
        <f>IFERROR(INDEX('단가표'!$E$4:$E$33,MATCH(C16,'단가표'!$B$4:$B$33,0)),"")</f>
        <v>0</v>
      </c>
      <c r="H16" s="16">
        <f>IF(OR(E16="",G16=""),"",E16*G16)</f>
        <v>0</v>
      </c>
    </row>
    <row r="17" spans="2:8">
      <c r="B17" s="11">
        <v>5</v>
      </c>
      <c r="C17" s="4"/>
      <c r="D17" s="12">
        <f>IFERROR(INDEX('단가표'!$C$4:$C$33,MATCH(C17,'단가표'!$B$4:$B$33,0)),"")</f>
        <v>0</v>
      </c>
      <c r="E17" s="13"/>
      <c r="F17" s="14">
        <f>IFERROR(INDEX('단가표'!$D$4:$D$33,MATCH(C17,'단가표'!$B$4:$B$33,0)),"")</f>
        <v>0</v>
      </c>
      <c r="G17" s="15">
        <f>IFERROR(INDEX('단가표'!$E$4:$E$33,MATCH(C17,'단가표'!$B$4:$B$33,0)),"")</f>
        <v>0</v>
      </c>
      <c r="H17" s="16">
        <f>IF(OR(E17="",G17=""),"",E17*G17)</f>
        <v>0</v>
      </c>
    </row>
    <row r="18" spans="2:8">
      <c r="B18" s="11">
        <v>6</v>
      </c>
      <c r="C18" s="4"/>
      <c r="D18" s="12">
        <f>IFERROR(INDEX('단가표'!$C$4:$C$33,MATCH(C18,'단가표'!$B$4:$B$33,0)),"")</f>
        <v>0</v>
      </c>
      <c r="E18" s="13"/>
      <c r="F18" s="14">
        <f>IFERROR(INDEX('단가표'!$D$4:$D$33,MATCH(C18,'단가표'!$B$4:$B$33,0)),"")</f>
        <v>0</v>
      </c>
      <c r="G18" s="15">
        <f>IFERROR(INDEX('단가표'!$E$4:$E$33,MATCH(C18,'단가표'!$B$4:$B$33,0)),"")</f>
        <v>0</v>
      </c>
      <c r="H18" s="16">
        <f>IF(OR(E18="",G18=""),"",E18*G18)</f>
        <v>0</v>
      </c>
    </row>
    <row r="19" spans="2:8">
      <c r="B19" s="11">
        <v>7</v>
      </c>
      <c r="C19" s="4"/>
      <c r="D19" s="12">
        <f>IFERROR(INDEX('단가표'!$C$4:$C$33,MATCH(C19,'단가표'!$B$4:$B$33,0)),"")</f>
        <v>0</v>
      </c>
      <c r="E19" s="13"/>
      <c r="F19" s="14">
        <f>IFERROR(INDEX('단가표'!$D$4:$D$33,MATCH(C19,'단가표'!$B$4:$B$33,0)),"")</f>
        <v>0</v>
      </c>
      <c r="G19" s="15">
        <f>IFERROR(INDEX('단가표'!$E$4:$E$33,MATCH(C19,'단가표'!$B$4:$B$33,0)),"")</f>
        <v>0</v>
      </c>
      <c r="H19" s="16">
        <f>IF(OR(E19="",G19=""),"",E19*G19)</f>
        <v>0</v>
      </c>
    </row>
    <row r="20" spans="2:8">
      <c r="B20" s="11">
        <v>8</v>
      </c>
      <c r="C20" s="4"/>
      <c r="D20" s="12">
        <f>IFERROR(INDEX('단가표'!$C$4:$C$33,MATCH(C20,'단가표'!$B$4:$B$33,0)),"")</f>
        <v>0</v>
      </c>
      <c r="E20" s="13"/>
      <c r="F20" s="14">
        <f>IFERROR(INDEX('단가표'!$D$4:$D$33,MATCH(C20,'단가표'!$B$4:$B$33,0)),"")</f>
        <v>0</v>
      </c>
      <c r="G20" s="15">
        <f>IFERROR(INDEX('단가표'!$E$4:$E$33,MATCH(C20,'단가표'!$B$4:$B$33,0)),"")</f>
        <v>0</v>
      </c>
      <c r="H20" s="16">
        <f>IF(OR(E20="",G20=""),"",E20*G20)</f>
        <v>0</v>
      </c>
    </row>
    <row r="21" spans="2:8">
      <c r="B21" s="11">
        <v>9</v>
      </c>
      <c r="C21" s="4"/>
      <c r="D21" s="12">
        <f>IFERROR(INDEX('단가표'!$C$4:$C$33,MATCH(C21,'단가표'!$B$4:$B$33,0)),"")</f>
        <v>0</v>
      </c>
      <c r="E21" s="13"/>
      <c r="F21" s="14">
        <f>IFERROR(INDEX('단가표'!$D$4:$D$33,MATCH(C21,'단가표'!$B$4:$B$33,0)),"")</f>
        <v>0</v>
      </c>
      <c r="G21" s="15">
        <f>IFERROR(INDEX('단가표'!$E$4:$E$33,MATCH(C21,'단가표'!$B$4:$B$33,0)),"")</f>
        <v>0</v>
      </c>
      <c r="H21" s="16">
        <f>IF(OR(E21="",G21=""),"",E21*G21)</f>
        <v>0</v>
      </c>
    </row>
    <row r="22" spans="2:8">
      <c r="B22" s="11">
        <v>10</v>
      </c>
      <c r="C22" s="4"/>
      <c r="D22" s="12">
        <f>IFERROR(INDEX('단가표'!$C$4:$C$33,MATCH(C22,'단가표'!$B$4:$B$33,0)),"")</f>
        <v>0</v>
      </c>
      <c r="E22" s="13"/>
      <c r="F22" s="14">
        <f>IFERROR(INDEX('단가표'!$D$4:$D$33,MATCH(C22,'단가표'!$B$4:$B$33,0)),"")</f>
        <v>0</v>
      </c>
      <c r="G22" s="15">
        <f>IFERROR(INDEX('단가표'!$E$4:$E$33,MATCH(C22,'단가표'!$B$4:$B$33,0)),"")</f>
        <v>0</v>
      </c>
      <c r="H22" s="16">
        <f>IF(OR(E22="",G22=""),"",E22*G22)</f>
        <v>0</v>
      </c>
    </row>
    <row r="23" spans="2:8">
      <c r="B23" s="11">
        <v>11</v>
      </c>
      <c r="C23" s="4"/>
      <c r="D23" s="12">
        <f>IFERROR(INDEX('단가표'!$C$4:$C$33,MATCH(C23,'단가표'!$B$4:$B$33,0)),"")</f>
        <v>0</v>
      </c>
      <c r="E23" s="13"/>
      <c r="F23" s="14">
        <f>IFERROR(INDEX('단가표'!$D$4:$D$33,MATCH(C23,'단가표'!$B$4:$B$33,0)),"")</f>
        <v>0</v>
      </c>
      <c r="G23" s="15">
        <f>IFERROR(INDEX('단가표'!$E$4:$E$33,MATCH(C23,'단가표'!$B$4:$B$33,0)),"")</f>
        <v>0</v>
      </c>
      <c r="H23" s="16">
        <f>IF(OR(E23="",G23=""),"",E23*G23)</f>
        <v>0</v>
      </c>
    </row>
    <row r="24" spans="2:8">
      <c r="B24" s="11">
        <v>12</v>
      </c>
      <c r="C24" s="4"/>
      <c r="D24" s="12">
        <f>IFERROR(INDEX('단가표'!$C$4:$C$33,MATCH(C24,'단가표'!$B$4:$B$33,0)),"")</f>
        <v>0</v>
      </c>
      <c r="E24" s="13"/>
      <c r="F24" s="14">
        <f>IFERROR(INDEX('단가표'!$D$4:$D$33,MATCH(C24,'단가표'!$B$4:$B$33,0)),"")</f>
        <v>0</v>
      </c>
      <c r="G24" s="15">
        <f>IFERROR(INDEX('단가표'!$E$4:$E$33,MATCH(C24,'단가표'!$B$4:$B$33,0)),"")</f>
        <v>0</v>
      </c>
      <c r="H24" s="16">
        <f>IF(OR(E24="",G24=""),"",E24*G24)</f>
        <v>0</v>
      </c>
    </row>
    <row r="25" spans="2:8">
      <c r="B25" s="11">
        <v>13</v>
      </c>
      <c r="C25" s="4"/>
      <c r="D25" s="12">
        <f>IFERROR(INDEX('단가표'!$C$4:$C$33,MATCH(C25,'단가표'!$B$4:$B$33,0)),"")</f>
        <v>0</v>
      </c>
      <c r="E25" s="13"/>
      <c r="F25" s="14">
        <f>IFERROR(INDEX('단가표'!$D$4:$D$33,MATCH(C25,'단가표'!$B$4:$B$33,0)),"")</f>
        <v>0</v>
      </c>
      <c r="G25" s="15">
        <f>IFERROR(INDEX('단가표'!$E$4:$E$33,MATCH(C25,'단가표'!$B$4:$B$33,0)),"")</f>
        <v>0</v>
      </c>
      <c r="H25" s="16">
        <f>IF(OR(E25="",G25=""),"",E25*G25)</f>
        <v>0</v>
      </c>
    </row>
    <row r="26" spans="2:8">
      <c r="B26" s="11">
        <v>14</v>
      </c>
      <c r="C26" s="4"/>
      <c r="D26" s="12">
        <f>IFERROR(INDEX('단가표'!$C$4:$C$33,MATCH(C26,'단가표'!$B$4:$B$33,0)),"")</f>
        <v>0</v>
      </c>
      <c r="E26" s="13"/>
      <c r="F26" s="14">
        <f>IFERROR(INDEX('단가표'!$D$4:$D$33,MATCH(C26,'단가표'!$B$4:$B$33,0)),"")</f>
        <v>0</v>
      </c>
      <c r="G26" s="15">
        <f>IFERROR(INDEX('단가표'!$E$4:$E$33,MATCH(C26,'단가표'!$B$4:$B$33,0)),"")</f>
        <v>0</v>
      </c>
      <c r="H26" s="16">
        <f>IF(OR(E26="",G26=""),"",E26*G26)</f>
        <v>0</v>
      </c>
    </row>
    <row r="27" spans="2:8">
      <c r="B27" s="11">
        <v>15</v>
      </c>
      <c r="C27" s="4"/>
      <c r="D27" s="12">
        <f>IFERROR(INDEX('단가표'!$C$4:$C$33,MATCH(C27,'단가표'!$B$4:$B$33,0)),"")</f>
        <v>0</v>
      </c>
      <c r="E27" s="13"/>
      <c r="F27" s="14">
        <f>IFERROR(INDEX('단가표'!$D$4:$D$33,MATCH(C27,'단가표'!$B$4:$B$33,0)),"")</f>
        <v>0</v>
      </c>
      <c r="G27" s="15">
        <f>IFERROR(INDEX('단가표'!$E$4:$E$33,MATCH(C27,'단가표'!$B$4:$B$33,0)),"")</f>
        <v>0</v>
      </c>
      <c r="H27" s="16">
        <f>IF(OR(E27="",G27=""),"",E27*G27)</f>
        <v>0</v>
      </c>
    </row>
    <row r="28" spans="2:8">
      <c r="B28" s="17" t="s">
        <v>55</v>
      </c>
      <c r="C28" s="17"/>
      <c r="D28" s="17"/>
      <c r="E28" s="17"/>
      <c r="F28" s="17"/>
      <c r="G28" s="17"/>
      <c r="H28" s="18">
        <f>SUM(H13:H27)</f>
        <v>0</v>
      </c>
    </row>
    <row r="29" spans="2:8">
      <c r="B29" s="14" t="s">
        <v>56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57</v>
      </c>
      <c r="C30" s="19"/>
      <c r="D30" s="19"/>
      <c r="E30" s="19"/>
      <c r="F30" s="19"/>
      <c r="G30" s="19"/>
      <c r="H30" s="20">
        <f>H28-H29</f>
        <v>0</v>
      </c>
    </row>
    <row r="31" spans="2:8">
      <c r="B31" s="14" t="s">
        <v>58</v>
      </c>
      <c r="C31" s="14"/>
      <c r="D31" s="14"/>
      <c r="E31" s="14"/>
      <c r="F31" s="21" t="s">
        <v>59</v>
      </c>
      <c r="G31" s="12"/>
      <c r="H31" s="16">
        <f>IF(F31="별도",ROUND(H30*0.1,0),IF(F31="포함",ROUND(H30/11,0),0))</f>
        <v>0</v>
      </c>
    </row>
    <row r="32" spans="2:8">
      <c r="B32" s="17" t="s">
        <v>60</v>
      </c>
      <c r="C32" s="17"/>
      <c r="D32" s="17"/>
      <c r="E32" s="17"/>
      <c r="F32" s="17"/>
      <c r="G32" s="17"/>
      <c r="H32" s="22">
        <f>H30+IF(F31="별도",H31,0)</f>
        <v>0</v>
      </c>
    </row>
    <row r="33" spans="2:8">
      <c r="B33" s="3" t="s">
        <v>61</v>
      </c>
      <c r="C33" s="23" t="s">
        <v>62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63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B8591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15</v>
      </c>
      <c r="C1" s="25"/>
      <c r="D1" s="25"/>
      <c r="E1" s="25"/>
    </row>
    <row r="3" spans="2:5">
      <c r="B3" s="10" t="s">
        <v>16</v>
      </c>
      <c r="C3" s="10" t="s">
        <v>17</v>
      </c>
      <c r="D3" s="10" t="s">
        <v>18</v>
      </c>
      <c r="E3" s="10" t="s">
        <v>19</v>
      </c>
    </row>
    <row r="4" spans="2:5">
      <c r="B4" s="4" t="s">
        <v>20</v>
      </c>
      <c r="C4" s="4" t="s">
        <v>21</v>
      </c>
      <c r="D4" s="21" t="s">
        <v>22</v>
      </c>
      <c r="E4" s="15">
        <v>15000</v>
      </c>
    </row>
    <row r="5" spans="2:5">
      <c r="B5" s="4" t="s">
        <v>23</v>
      </c>
      <c r="C5" s="4" t="s">
        <v>21</v>
      </c>
      <c r="D5" s="21" t="s">
        <v>22</v>
      </c>
      <c r="E5" s="15">
        <v>22000</v>
      </c>
    </row>
    <row r="6" spans="2:5">
      <c r="B6" s="4" t="s">
        <v>24</v>
      </c>
      <c r="C6" s="4" t="s">
        <v>25</v>
      </c>
      <c r="D6" s="21" t="s">
        <v>26</v>
      </c>
      <c r="E6" s="15">
        <v>90000</v>
      </c>
    </row>
    <row r="7" spans="2:5">
      <c r="B7" s="4" t="s">
        <v>27</v>
      </c>
      <c r="C7" s="4" t="s">
        <v>28</v>
      </c>
      <c r="D7" s="21" t="s">
        <v>29</v>
      </c>
      <c r="E7" s="15">
        <v>3000</v>
      </c>
    </row>
    <row r="8" spans="2:5">
      <c r="B8" s="4" t="s">
        <v>30</v>
      </c>
      <c r="C8" s="4" t="s">
        <v>31</v>
      </c>
      <c r="D8" s="21" t="s">
        <v>29</v>
      </c>
      <c r="E8" s="15">
        <v>3500</v>
      </c>
    </row>
    <row r="9" spans="2:5">
      <c r="B9" s="4" t="s">
        <v>32</v>
      </c>
      <c r="C9" s="4" t="s">
        <v>28</v>
      </c>
      <c r="D9" s="21" t="s">
        <v>29</v>
      </c>
      <c r="E9" s="15">
        <v>30000</v>
      </c>
    </row>
    <row r="10" spans="2:5">
      <c r="B10" s="4" t="s">
        <v>33</v>
      </c>
      <c r="C10" s="4" t="s">
        <v>34</v>
      </c>
      <c r="D10" s="21" t="s">
        <v>35</v>
      </c>
      <c r="E10" s="15">
        <v>8000</v>
      </c>
    </row>
    <row r="11" spans="2:5">
      <c r="B11" s="4" t="s">
        <v>36</v>
      </c>
      <c r="C11" s="4" t="s">
        <v>37</v>
      </c>
      <c r="D11" s="21" t="s">
        <v>38</v>
      </c>
      <c r="E11" s="15">
        <v>20000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49645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 t="s">
        <v>1</v>
      </c>
      <c r="C3" s="27"/>
    </row>
    <row r="4" spans="2:3">
      <c r="B4" s="28" t="s">
        <v>2</v>
      </c>
      <c r="C4" s="28"/>
    </row>
    <row r="5" spans="2:3" ht="6" customHeight="1"/>
    <row r="6" spans="2:3">
      <c r="B6" s="29" t="s">
        <v>3</v>
      </c>
      <c r="C6" s="30"/>
    </row>
    <row r="7" spans="2:3" ht="22" customHeight="1">
      <c r="B7" s="31" t="s">
        <v>4</v>
      </c>
      <c r="C7" s="32" t="s">
        <v>5</v>
      </c>
    </row>
    <row r="8" spans="2:3" ht="32" customHeight="1">
      <c r="B8" s="31" t="s">
        <v>6</v>
      </c>
      <c r="C8" s="32" t="s">
        <v>7</v>
      </c>
    </row>
    <row r="9" spans="2:3" ht="22" customHeight="1">
      <c r="B9" s="31" t="s">
        <v>8</v>
      </c>
      <c r="C9" s="32" t="s">
        <v>9</v>
      </c>
    </row>
    <row r="10" spans="2:3" ht="32" customHeight="1">
      <c r="B10" s="31" t="s">
        <v>10</v>
      </c>
      <c r="C10" s="32" t="s">
        <v>11</v>
      </c>
    </row>
    <row r="12" spans="2:3" ht="28" customHeight="1">
      <c r="B12" s="33" t="s">
        <v>12</v>
      </c>
      <c r="C12" s="33"/>
    </row>
    <row r="13" spans="2:3" ht="28" customHeight="1">
      <c r="B13" s="33" t="s">
        <v>13</v>
      </c>
      <c r="C13" s="33"/>
    </row>
    <row r="15" spans="2:3">
      <c r="B15" s="34" t="s">
        <v>14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일반 상품 공급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2026-10-19T18:12:06Z</dcterms:created>
  <dcterms:modified xsi:type="dcterms:W3CDTF">2026-10-19T18:12:06Z</dcterms:modified>
</cp:coreProperties>
</file>