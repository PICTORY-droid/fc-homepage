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<sst xmlns="http://schemas.openxmlformats.org/spreadsheetml/2006/main" count="76" uniqueCount="63">
  <si>
    <t>교육·강의 견적서</t>
  </si>
  <si>
    <t>억새 언덕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</si>
  <si>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</si>
  <si>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</si>
  <si>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</si>
  <si>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</si>
  <si>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</si>
  <si>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</si>
  <si>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</si>
  <si>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</si>
  <si>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</si>
  <si>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</si>
  <si>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</si>
  <si>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</si>
  <si>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</si>
  <si>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</si>
  <si>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</si>
  <si>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</si>
  <si>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</si>
  <si>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수료증 발급</t>
  </si>
  <si>
    <t>인당</t>
  </si>
  <si>
    <t>명</t>
  </si>
  <si>
    <t>교육장 대관</t>
  </si>
  <si>
    <t>시간당</t>
  </si>
  <si>
    <t>시간</t>
  </si>
  <si>
    <t>다과·간식</t>
  </si>
  <si>
    <t>직무 교육(특강)</t>
  </si>
  <si>
    <t>2시간</t>
  </si>
  <si>
    <t>회</t>
  </si>
  <si>
    <t>워크숍 진행</t>
  </si>
  <si>
    <t>반일</t>
  </si>
  <si>
    <t>교재 제작</t>
  </si>
  <si>
    <t>권당</t>
  </si>
  <si>
    <t>권</t>
  </si>
  <si>
    <t>강사료(정규)</t>
  </si>
  <si>
    <t>온라인 강의 제작</t>
  </si>
  <si>
    <t>분당</t>
  </si>
  <si>
    <t>분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</si>
  <si>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</si>
  <si>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</si>
  <si>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</si>
  <si>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</si>
  <si>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</si>
  <si>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</si>
  <si>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</si>
  <si>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</si>
  <si>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</si>
  <si>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</si>
  <si>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</si>
  <si>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교육·강의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</si>
  <si>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</si>
  <si>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</si>
  <si>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</si>
  <si>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</si>
  <si>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</si>
  <si>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</si>
  <si>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</si>
  <si>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</si>
  <si>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</si>
  <si>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</si>
  <si>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</si>
  <si>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수강 인원과 일정에 따라 금액이 달라질 수 있습니다.
• 결제: 교육 종료 후 7일 이내 계산서 발행·입금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</si>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</sst>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59472C"/>
      <name val="맑은 고딕"/>
      <family val="2"/>
    </font>
    <font>
      <i/>
      <sz val="10"/>
      <color rgb="FF9D7D4D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59472C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9D7D4D"/>
      <name val="맑은 고딕"/>
      <family val="2"/>
    </font>
    <font>
      <b/>
      <sz val="14"/>
      <color rgb="FF59472C"/>
      <name val="맑은 고딕"/>
      <family val="2"/>
    </font>
    <font>
      <b/>
      <sz val="22"/>
      <color rgb="FF59472C"/>
      <name val="맑은 고딕"/>
      <family val="2"/>
    </font>
    <font>
      <i/>
      <sz val="11"/>
      <color rgb="FF9D7D4D"/>
      <name val="맑은 고딕"/>
      <family val="2"/>
    </font>
    <font>
      <sz val="9"/>
      <color rgb="FF777777"/>
      <name val="맑은 고딕"/>
      <family val="2"/>
    </font>
    <font>
      <b/>
      <sz val="10"/>
      <color rgb="FF59472C"/>
      <name val="맑은 고딕"/>
      <family val="2"/>
    </font>
    <font>
      <sz val="9"/>
      <color rgb="FF9D7D4D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9D7D4D"/>
        <bgColor indexed="64"/>
      </patternFill>
    </fill>
    <fill>
      <patternFill patternType="solid">
        <fgColor rgb="FFF8F5F1"/>
        <bgColor indexed="64"/>
      </patternFill>
    </fill>
    <fill>
      <patternFill patternType="solid">
        <fgColor rgb="FF59472C"/>
        <bgColor indexed="64"/>
      </patternFill>
    </fill>
    <fill>
      <patternFill patternType="solid">
        <fgColor rgb="FFECE3D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9D7D4D"/>
      </bottom>
      <diagonal/>
    </border>
    <border>
      <left style="thin">
        <color rgb="FF59472C"/>
      </left>
      <right style="thin">
        <color rgb="FF59472C"/>
      </right>
      <top style="thin">
        <color rgb="FF59472C"/>
      </top>
      <bottom style="thin">
        <color rgb="FF59472C"/>
      </bottom>
      <diagonal/>
    </border>
    <border>
      <left style="thin">
        <color rgb="FF9D7D4D"/>
      </left>
      <right style="thin">
        <color rgb="FF9D7D4D"/>
      </right>
      <top style="thin">
        <color rgb="FF9D7D4D"/>
      </top>
      <bottom style="thin">
        <color rgb="FF9D7D4D"/>
      </bottom>
      <diagonal/>
    </border>
    <border>
      <left style="thin">
        <color rgb="FFECE3D4"/>
      </left>
      <right style="thin">
        <color rgb="FFECE3D4"/>
      </right>
      <top style="thin">
        <color rgb="FFECE3D4"/>
      </top>
      <bottom style="thin">
        <color rgb="FFECE3D4"/>
      </bottom>
      <diagonal/>
    </border>
    <border>
      <left/>
      <right/>
      <top style="medium">
        <color rgb="FF9D7D4D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9D7D4D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38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39</v>
      </c>
      <c r="C4" s="4"/>
      <c r="D4" s="4"/>
      <c r="E4" s="3" t="s">
        <v>40</v>
      </c>
      <c r="F4" s="4"/>
      <c r="G4" s="4"/>
      <c r="H4" s="4"/>
    </row>
    <row r="5" spans="2:8">
      <c r="B5" s="3" t="s">
        <v>41</v>
      </c>
      <c r="C5" s="4"/>
      <c r="D5" s="4"/>
      <c r="E5" s="3" t="s">
        <v>42</v>
      </c>
      <c r="F5" s="4"/>
      <c r="G5" s="4"/>
      <c r="H5" s="4"/>
    </row>
    <row r="6" spans="2:8">
      <c r="B6" s="3" t="s">
        <v>43</v>
      </c>
      <c r="C6" s="5">
        <f>TODAY()</f>
        <v>0</v>
      </c>
      <c r="D6" s="4"/>
      <c r="E6" s="3" t="s">
        <v>44</v>
      </c>
      <c r="F6" s="4"/>
      <c r="G6" s="4"/>
      <c r="H6" s="4"/>
    </row>
    <row r="7" spans="2:8">
      <c r="B7" s="3" t="s">
        <v>45</v>
      </c>
      <c r="C7" s="6">
        <v>30</v>
      </c>
      <c r="D7" s="7">
        <f>IF(C6="","",C6+C7)</f>
        <v>0</v>
      </c>
      <c r="E7" s="3" t="s">
        <v>46</v>
      </c>
      <c r="F7" s="4"/>
      <c r="G7" s="4"/>
      <c r="H7" s="4"/>
    </row>
    <row r="8" spans="2:8">
      <c r="B8" s="3" t="s">
        <v>47</v>
      </c>
      <c r="C8" s="4" t="s">
        <v>49</v>
      </c>
      <c r="D8" s="4"/>
      <c r="E8" s="3" t="s">
        <v>48</v>
      </c>
      <c r="F8" s="4"/>
      <c r="G8" s="4"/>
      <c r="H8" s="4"/>
    </row>
    <row r="10" spans="2:8" ht="32" customHeight="1">
      <c r="B10" s="8" t="s">
        <v>50</v>
      </c>
      <c r="C10" s="8"/>
      <c r="D10" s="9">
        <f>H32</f>
        <v>4334000</v>
      </c>
      <c r="E10" s="9"/>
      <c r="F10" s="9"/>
      <c r="G10" s="9"/>
      <c r="H10" s="9"/>
    </row>
    <row r="12" spans="2:8">
      <c r="B12" s="10" t="s">
        <v>51</v>
      </c>
      <c r="C12" s="10" t="s">
        <v>15</v>
      </c>
      <c r="D12" s="10" t="s">
        <v>16</v>
      </c>
      <c r="E12" s="10" t="s">
        <v>52</v>
      </c>
      <c r="F12" s="10" t="s">
        <v>17</v>
      </c>
      <c r="G12" s="10" t="s">
        <v>18</v>
      </c>
      <c r="H12" s="10" t="s">
        <v>53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인당</v>
      </c>
      <c r="E13" s="13">
        <v>2</v>
      </c>
      <c r="F13" s="14" t="str">
        <f>IFERROR(INDEX('단가표'!$D$4:$D$33,MATCH(C13,'단가표'!$B$4:$B$33,0)),"")</f>
        <v>명</v>
      </c>
      <c r="G13" s="15">
        <f>IFERROR(INDEX('단가표'!$E$4:$E$33,MATCH(C13,'단가표'!$B$4:$B$33,0)),"")</f>
        <v>1200</v>
      </c>
      <c r="H13" s="16">
        <f>IF(OR(E13="",G13=""),"",E13*G13)</f>
        <v>2400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시간당</v>
      </c>
      <c r="E14" s="13">
        <v>4</v>
      </c>
      <c r="F14" s="14" t="str">
        <f>IFERROR(INDEX('단가표'!$D$4:$D$33,MATCH(C14,'단가표'!$B$4:$B$33,0)),"")</f>
        <v>시간</v>
      </c>
      <c r="G14" s="15">
        <f>IFERROR(INDEX('단가표'!$E$4:$E$33,MATCH(C14,'단가표'!$B$4:$B$33,0)),"")</f>
        <v>57500</v>
      </c>
      <c r="H14" s="16">
        <f>IF(OR(E14="",G14=""),"",E14*G14)</f>
        <v>230000</v>
      </c>
    </row>
    <row r="15" spans="2:8">
      <c r="B15" s="11">
        <v>3</v>
      </c>
      <c r="C15" s="4" t="s">
        <v>25</v>
      </c>
      <c r="D15" s="12" t="str">
        <f>IFERROR(INDEX('단가표'!$C$4:$C$33,MATCH(C15,'단가표'!$B$4:$B$33,0)),"")</f>
        <v>인당</v>
      </c>
      <c r="E15" s="13">
        <v>6</v>
      </c>
      <c r="F15" s="14" t="str">
        <f>IFERROR(INDEX('단가표'!$D$4:$D$33,MATCH(C15,'단가표'!$B$4:$B$33,0)),"")</f>
        <v>명</v>
      </c>
      <c r="G15" s="15">
        <f>IFERROR(INDEX('단가표'!$E$4:$E$33,MATCH(C15,'단가표'!$B$4:$B$33,0)),"")</f>
        <v>4600</v>
      </c>
      <c r="H15" s="16">
        <f>IF(OR(E15="",G15=""),"",E15*G15)</f>
        <v>27600</v>
      </c>
    </row>
    <row r="16" spans="2:8">
      <c r="B16" s="11">
        <v>4</v>
      </c>
      <c r="C16" s="4" t="s">
        <v>26</v>
      </c>
      <c r="D16" s="12" t="str">
        <f>IFERROR(INDEX('단가표'!$C$4:$C$33,MATCH(C16,'단가표'!$B$4:$B$33,0)),"")</f>
        <v>2시간</v>
      </c>
      <c r="E16" s="13">
        <v>8</v>
      </c>
      <c r="F16" s="14" t="str">
        <f>IFERROR(INDEX('단가표'!$D$4:$D$33,MATCH(C16,'단가표'!$B$4:$B$33,0)),"")</f>
        <v>회</v>
      </c>
      <c r="G16" s="15">
        <f>IFERROR(INDEX('단가표'!$E$4:$E$33,MATCH(C16,'단가표'!$B$4:$B$33,0)),"")</f>
        <v>460000</v>
      </c>
      <c r="H16" s="16">
        <f>IF(OR(E16="",G16=""),"",E16*G16)</f>
        <v>3680000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54</v>
      </c>
      <c r="C28" s="17"/>
      <c r="D28" s="17"/>
      <c r="E28" s="17"/>
      <c r="F28" s="17"/>
      <c r="G28" s="17"/>
      <c r="H28" s="18">
        <f>SUM(H13:H27)</f>
        <v>3940000</v>
      </c>
    </row>
    <row r="29" spans="2:8">
      <c r="B29" s="14" t="s">
        <v>55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56</v>
      </c>
      <c r="C30" s="19"/>
      <c r="D30" s="19"/>
      <c r="E30" s="19"/>
      <c r="F30" s="19"/>
      <c r="G30" s="19"/>
      <c r="H30" s="20">
        <f>H28-H29</f>
        <v>3940000</v>
      </c>
    </row>
    <row r="31" spans="2:8">
      <c r="B31" s="14" t="s">
        <v>57</v>
      </c>
      <c r="C31" s="14"/>
      <c r="D31" s="14"/>
      <c r="E31" s="14"/>
      <c r="F31" s="21" t="s">
        <v>58</v>
      </c>
      <c r="G31" s="12"/>
      <c r="H31" s="16">
        <f>IF(F31="별도",ROUND(H30*0.1,0),IF(F31="포함",ROUND(H30/11,0),0))</f>
        <v>394000</v>
      </c>
    </row>
    <row r="32" spans="2:8">
      <c r="B32" s="17" t="s">
        <v>59</v>
      </c>
      <c r="C32" s="17"/>
      <c r="D32" s="17"/>
      <c r="E32" s="17"/>
      <c r="F32" s="17"/>
      <c r="G32" s="17"/>
      <c r="H32" s="22">
        <f>H30+IF(F31="별도",H31,0)</f>
        <v>4334000</v>
      </c>
    </row>
    <row r="33" spans="2:8">
      <c r="B33" s="3" t="s">
        <v>60</v>
      </c>
      <c r="C33" s="23" t="s">
        <v>61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62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38289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1200</v>
      </c>
    </row>
    <row r="5" spans="2:5">
      <c r="B5" s="4" t="s">
        <v>22</v>
      </c>
      <c r="C5" s="4" t="s">
        <v>23</v>
      </c>
      <c r="D5" s="21" t="s">
        <v>24</v>
      </c>
      <c r="E5" s="15">
        <v>57500</v>
      </c>
    </row>
    <row r="6" spans="2:5">
      <c r="B6" s="4" t="s">
        <v>25</v>
      </c>
      <c r="C6" s="4" t="s">
        <v>20</v>
      </c>
      <c r="D6" s="21" t="s">
        <v>21</v>
      </c>
      <c r="E6" s="15">
        <v>4600</v>
      </c>
    </row>
    <row r="7" spans="2:5">
      <c r="B7" s="4" t="s">
        <v>26</v>
      </c>
      <c r="C7" s="4" t="s">
        <v>27</v>
      </c>
      <c r="D7" s="21" t="s">
        <v>28</v>
      </c>
      <c r="E7" s="15">
        <v>460000</v>
      </c>
    </row>
    <row r="8" spans="2:5">
      <c r="B8" s="4" t="s">
        <v>29</v>
      </c>
      <c r="C8" s="4" t="s">
        <v>30</v>
      </c>
      <c r="D8" s="21" t="s">
        <v>28</v>
      </c>
      <c r="E8" s="15">
        <v>920000</v>
      </c>
    </row>
    <row r="9" spans="2:5">
      <c r="B9" s="4" t="s">
        <v>31</v>
      </c>
      <c r="C9" s="4" t="s">
        <v>32</v>
      </c>
      <c r="D9" s="21" t="s">
        <v>33</v>
      </c>
      <c r="E9" s="15">
        <v>9200</v>
      </c>
    </row>
    <row r="10" spans="2:5">
      <c r="B10" s="4" t="s">
        <v>34</v>
      </c>
      <c r="C10" s="4" t="s">
        <v>23</v>
      </c>
      <c r="D10" s="21" t="s">
        <v>24</v>
      </c>
      <c r="E10" s="15">
        <v>115000</v>
      </c>
    </row>
    <row r="11" spans="2:5">
      <c r="B11" s="4" t="s">
        <v>35</v>
      </c>
      <c r="C11" s="4" t="s">
        <v>36</v>
      </c>
      <c r="D11" s="21" t="s">
        <v>37</v>
      </c>
      <c r="E11" s="15">
        <v>34500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9D7D4D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교육·강의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2026-10-19T18:50:45Z</dcterms:created>
  <dcterms:modified xsi:type="dcterms:W3CDTF">2026-10-19T18:50:45Z</dcterms:modified>
</cp:coreProperties>
</file>