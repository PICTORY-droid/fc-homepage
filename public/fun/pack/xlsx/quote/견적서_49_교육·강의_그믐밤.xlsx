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<sst xmlns="http://schemas.openxmlformats.org/spreadsheetml/2006/main" count="76" uniqueCount="63">
  <si>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교육·강의 견적서</t>
  </si>
  <si>
    <t>그믐밤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</si>
  <si>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</si>
  <si>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</si>
  <si>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</si>
  <si>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</si>
  <si>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</si>
  <si>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</si>
  <si>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</si>
  <si>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</si>
  <si>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</si>
  <si>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</si>
  <si>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</si>
  <si>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</si>
  <si>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</si>
  <si>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</si>
  <si>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</si>
  <si>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</si>
  <si>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</si>
  <si>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워크숍 진행</t>
  </si>
  <si>
    <t>반일</t>
  </si>
  <si>
    <t>회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</si>
  <si>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</si>
  <si>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</si>
  <si>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</si>
  <si>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</si>
  <si>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</si>
  <si>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</si>
  <si>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</si>
  <si>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</si>
  <si>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</si>
  <si>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</si>
  <si>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</si>
  <si>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</si>
  <si>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</si>
  <si>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다과·간식</t>
  </si>
  <si>
    <t>직무 교육(특강)</t>
  </si>
  <si>
    <t>2시간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</si>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</sst>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91938"/>
      <name val="맑은 고딕"/>
      <family val="2"/>
    </font>
    <font>
      <i/>
      <sz val="10"/>
      <color rgb="FF29295B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9193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9295B"/>
      <name val="맑은 고딕"/>
      <family val="2"/>
    </font>
    <font>
      <b/>
      <sz val="14"/>
      <color rgb="FF191938"/>
      <name val="맑은 고딕"/>
      <family val="2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F1F1F9"/>
        <bgColor indexed="64"/>
      </patternFill>
    </fill>
    <fill>
      <patternFill patternType="solid">
        <fgColor rgb="FF191938"/>
        <bgColor indexed="64"/>
      </patternFill>
    </fill>
    <fill>
      <patternFill patternType="solid">
        <fgColor rgb="FFD3D3E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9295B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/>
      <right/>
      <top style="medium">
        <color rgb="FF29295B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2501840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반일</v>
      </c>
      <c r="E13" s="13">
        <v>2</v>
      </c>
      <c r="F13" s="14" t="str">
        <f>IFERROR(INDEX('단가표'!$D$4:$D$33,MATCH(C13,'단가표'!$B$4:$B$33,0)),"")</f>
        <v>회</v>
      </c>
      <c r="G13" s="15">
        <f>IFERROR(INDEX('단가표'!$E$4:$E$33,MATCH(C13,'단가표'!$B$4:$B$33,0)),"")</f>
        <v>736000</v>
      </c>
      <c r="H13" s="16">
        <f>IF(OR(E13="",G13=""),"",E13*G13)</f>
        <v>1472000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권당</v>
      </c>
      <c r="E14" s="13">
        <v>4</v>
      </c>
      <c r="F14" s="14" t="str">
        <f>IFERROR(INDEX('단가표'!$D$4:$D$33,MATCH(C14,'단가표'!$B$4:$B$33,0)),"")</f>
        <v>권</v>
      </c>
      <c r="G14" s="15">
        <f>IFERROR(INDEX('단가표'!$E$4:$E$33,MATCH(C14,'단가표'!$B$4:$B$33,0)),"")</f>
        <v>7400</v>
      </c>
      <c r="H14" s="16">
        <f>IF(OR(E14="",G14=""),"",E14*G14)</f>
        <v>29600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시간당</v>
      </c>
      <c r="E15" s="13">
        <v>6</v>
      </c>
      <c r="F15" s="14" t="str">
        <f>IFERROR(INDEX('단가표'!$D$4:$D$33,MATCH(C15,'단가표'!$B$4:$B$33,0)),"")</f>
        <v>시간</v>
      </c>
      <c r="G15" s="15">
        <f>IFERROR(INDEX('단가표'!$E$4:$E$33,MATCH(C15,'단가표'!$B$4:$B$33,0)),"")</f>
        <v>92000</v>
      </c>
      <c r="H15" s="16">
        <f>IF(OR(E15="",G15=""),"",E15*G15)</f>
        <v>552000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분당</v>
      </c>
      <c r="E16" s="13">
        <v>8</v>
      </c>
      <c r="F16" s="14" t="str">
        <f>IFERROR(INDEX('단가표'!$D$4:$D$33,MATCH(C16,'단가표'!$B$4:$B$33,0)),"")</f>
        <v>분</v>
      </c>
      <c r="G16" s="15">
        <f>IFERROR(INDEX('단가표'!$E$4:$E$33,MATCH(C16,'단가표'!$B$4:$B$33,0)),"")</f>
        <v>27600</v>
      </c>
      <c r="H16" s="16">
        <f>IF(OR(E16="",G16=""),"",E16*G16)</f>
        <v>220800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2274400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2274400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227440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2501840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D663F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736000</v>
      </c>
    </row>
    <row r="5" spans="2:5">
      <c r="B5" s="4" t="s">
        <v>22</v>
      </c>
      <c r="C5" s="4" t="s">
        <v>23</v>
      </c>
      <c r="D5" s="21" t="s">
        <v>24</v>
      </c>
      <c r="E5" s="15">
        <v>7400</v>
      </c>
    </row>
    <row r="6" spans="2:5">
      <c r="B6" s="4" t="s">
        <v>25</v>
      </c>
      <c r="C6" s="4" t="s">
        <v>26</v>
      </c>
      <c r="D6" s="21" t="s">
        <v>27</v>
      </c>
      <c r="E6" s="15">
        <v>92000</v>
      </c>
    </row>
    <row r="7" spans="2:5">
      <c r="B7" s="4" t="s">
        <v>28</v>
      </c>
      <c r="C7" s="4" t="s">
        <v>29</v>
      </c>
      <c r="D7" s="21" t="s">
        <v>30</v>
      </c>
      <c r="E7" s="15">
        <v>27600</v>
      </c>
    </row>
    <row r="8" spans="2:5">
      <c r="B8" s="4" t="s">
        <v>31</v>
      </c>
      <c r="C8" s="4" t="s">
        <v>32</v>
      </c>
      <c r="D8" s="21" t="s">
        <v>33</v>
      </c>
      <c r="E8" s="15">
        <v>900</v>
      </c>
    </row>
    <row r="9" spans="2:5">
      <c r="B9" s="4" t="s">
        <v>34</v>
      </c>
      <c r="C9" s="4" t="s">
        <v>26</v>
      </c>
      <c r="D9" s="21" t="s">
        <v>27</v>
      </c>
      <c r="E9" s="15">
        <v>46000</v>
      </c>
    </row>
    <row r="10" spans="2:5">
      <c r="B10" s="4" t="s">
        <v>35</v>
      </c>
      <c r="C10" s="4" t="s">
        <v>32</v>
      </c>
      <c r="D10" s="21" t="s">
        <v>33</v>
      </c>
      <c r="E10" s="15">
        <v>3700</v>
      </c>
    </row>
    <row r="11" spans="2:5">
      <c r="B11" s="4" t="s">
        <v>36</v>
      </c>
      <c r="C11" s="4" t="s">
        <v>37</v>
      </c>
      <c r="D11" s="21" t="s">
        <v>21</v>
      </c>
      <c r="E11" s="15">
        <v>368000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반딧불이의 곳간</dc:creator>
  <dc:description>자유롭게 편집해서 사용하세요.</dc:description>
  <cp:lastModifiedBy>반딧불이의 곳간</cp:lastModifiedBy>
  <dcterms:created xsi:type="dcterms:W3CDTF">2026-10-22T07:17:05Z</dcterms:created>
  <dcterms:modified xsi:type="dcterms:W3CDTF">2026-10-22T07:17:05Z</dcterms:modified>
</cp:coreProperties>
</file>