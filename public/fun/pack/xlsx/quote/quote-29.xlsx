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견적서" sheetId="1" r:id="rId1"/>
    <sheet name="단가표" sheetId="2" r:id="rId2"/>
    <sheet name="사용법" sheetId="3" r:id="rId3"/>
  </sheets>
  <definedNames>
    <definedName name="ItemNames">'단가표'!$B$4:$B$33</definedName>
    <definedName name="_xlnm.Print_Area" localSheetId="0">견적서!$B$1:$H$38</definedName>
  </definedNames>
  <calcPr calcId="124519" fullCalcOnLoad="1"/>
</workbook>
</file>

<file path=xl/sharedStrings.xml><?xml version="1.0" encoding="utf-8"?>
<sst xmlns="http://schemas.openxmlformats.org/spreadsheetml/2006/main" count="78" uniqueCount="64">
  <si>
    <t>교육·강의 견적서</t>
  </si>
  <si>
    <t>“흔들림 없이 약속을 지키겠습니다”</t>
  </si>
  <si>
    <t>억새 언덕 테마</t>
  </si>
  <si>
    <t>사용 순서</t>
  </si>
  <si>
    <t>1</t>
  </si>
  <si>
    <t>‘단가표’에 자주 쓰는 품목·규격·단위·단가를 적어 둬요(최대 30개).</t>
  </si>
  <si>
    <t>2</t>
  </si>
  <si>
    <t>‘견적서’의 품목 칸을 누르면 목록이 나오고, 고르면 규격·단위·단가가 자동으로 들어와요. 수량만 적으세요.</t>
  </si>
  <si>
    <t>3</t>
  </si>
  <si>
    <t>목록에 없는 품목은 직접 써도 돼요. 단가 칸도 직접 고칠 수 있어요.</t>
  </si>
  <si>
    <t>4</t>
  </si>
  <si>
    <t>부가세는 ‘별도 / 포함 / 면세’ 중에서 고르면 합계가 자동으로 바뀌어요. 인쇄는 A4 한 장에 맞춰져 있어요.</t>
  </si>
  <si>
    <t>표시된 금액·문구는 모두 예시예요. 내 사업에 맞게 고쳐 쓰세요.</t>
  </si>
  <si>
    <t>사업자등록번호·연락처는 ‘견적서’에 직접 입력하세요.</t>
  </si>
  <si>
    <t>우체국보험 상담 안내 · 자유롭게 고쳐 쓰세요</t>
  </si>
  <si>
    <t>단가표 — 자주 쓰는 품목을 적어 두세요</t>
  </si>
  <si>
    <t>품목</t>
  </si>
  <si>
    <t>규격·설명</t>
  </si>
  <si>
    <t>단위</t>
  </si>
  <si>
    <t>단가(원)</t>
  </si>
  <si>
    <t>수료증 발급</t>
  </si>
  <si>
    <t>인당</t>
  </si>
  <si>
    <t>명</t>
  </si>
  <si>
    <t>교육장 대관</t>
  </si>
  <si>
    <t>시간당</t>
  </si>
  <si>
    <t>시간</t>
  </si>
  <si>
    <t>다과·간식</t>
  </si>
  <si>
    <t>직무 교육(특강)</t>
  </si>
  <si>
    <t>2시간</t>
  </si>
  <si>
    <t>회</t>
  </si>
  <si>
    <t>워크숍 진행</t>
  </si>
  <si>
    <t>반일</t>
  </si>
  <si>
    <t>교재 제작</t>
  </si>
  <si>
    <t>권당</t>
  </si>
  <si>
    <t>권</t>
  </si>
  <si>
    <t>강사료(정규)</t>
  </si>
  <si>
    <t>온라인 강의 제작</t>
  </si>
  <si>
    <t>분당</t>
  </si>
  <si>
    <t>분</t>
  </si>
  <si>
    <t>견   적   서</t>
  </si>
  <si>
    <t>수신</t>
  </si>
  <si>
    <t>상호</t>
  </si>
  <si>
    <t>참조</t>
  </si>
  <si>
    <t>대표자</t>
  </si>
  <si>
    <t>견적일</t>
  </si>
  <si>
    <t>사업자번호</t>
  </si>
  <si>
    <t>유효기간</t>
  </si>
  <si>
    <t>연락처</t>
  </si>
  <si>
    <t>건명</t>
  </si>
  <si>
    <t>주소</t>
  </si>
  <si>
    <t>교육·강의 견적</t>
  </si>
  <si>
    <t>견적 합계금액</t>
  </si>
  <si>
    <t>No</t>
  </si>
  <si>
    <t>수량</t>
  </si>
  <si>
    <t>공급가액(원)</t>
  </si>
  <si>
    <t>소 계</t>
  </si>
  <si>
    <t>할 인(금액 입력)</t>
  </si>
  <si>
    <t>공 급 가 액</t>
  </si>
  <si>
    <t>부 가 세</t>
  </si>
  <si>
    <t>별도</t>
  </si>
  <si>
    <t>합 계 금 액</t>
  </si>
  <si>
    <t>비고</t>
  </si>
  <si>
    <t>• 수강 인원과 일정에 따라 금액이 달라질 수 있습니다.
• 결제: 교육 종료 후 7일 이내 계산서 발행·입금</t>
  </si>
  <si>
    <t>믿고 맡겨 주셔서 감사합니다.  ·  흔들림 없이 약속을 지키겠습니다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</si>
</sst>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0&quot;일&quot;"/>
    <numFmt numFmtId="166" formatCode="yyyy-mm-dd&quot;까지&quot;"/>
    <numFmt numFmtId="167" formatCode="&quot;₩ &quot;#,##0"/>
    <numFmt numFmtId="168" formatCode="#,##0"/>
  </numFmts>
  <fonts count="17">
    <font>
      <sz val="11"/>
      <color theme="1"/>
      <name val="Calibri"/>
      <family val="2"/>
      <scheme val="minor"/>
    </font>
    <font>
      <b/>
      <sz val="24"/>
      <color rgb="FF59472C"/>
      <name val="맑은 고딕"/>
      <family val="2"/>
    </font>
    <font>
      <i/>
      <sz val="10"/>
      <color rgb="FF9D7D4D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3"/>
      <color rgb="FFFFFFFF"/>
      <name val="맑은 고딕"/>
      <family val="2"/>
    </font>
    <font>
      <b/>
      <sz val="16"/>
      <color rgb="FF59472C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  <font>
      <b/>
      <sz val="12"/>
      <color theme="1"/>
      <name val="맑은 고딕"/>
      <family val="2"/>
    </font>
    <font>
      <i/>
      <sz val="9"/>
      <color rgb="FF9D7D4D"/>
      <name val="맑은 고딕"/>
      <family val="2"/>
    </font>
    <font>
      <b/>
      <sz val="14"/>
      <color rgb="FF59472C"/>
      <name val="맑은 고딕"/>
      <family val="2"/>
    </font>
    <font>
      <b/>
      <sz val="22"/>
      <color rgb="FF59472C"/>
      <name val="맑은 고딕"/>
      <family val="2"/>
    </font>
    <font>
      <i/>
      <sz val="11"/>
      <color rgb="FF9D7D4D"/>
      <name val="맑은 고딕"/>
      <family val="2"/>
    </font>
    <font>
      <sz val="9"/>
      <color rgb="FF777777"/>
      <name val="맑은 고딕"/>
      <family val="2"/>
    </font>
    <font>
      <b/>
      <sz val="10"/>
      <color rgb="FF59472C"/>
      <name val="맑은 고딕"/>
      <family val="2"/>
    </font>
    <font>
      <sz val="9"/>
      <color rgb="FF9D7D4D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9D7D4D"/>
        <bgColor indexed="64"/>
      </patternFill>
    </fill>
    <fill>
      <patternFill patternType="solid">
        <fgColor rgb="FFF8F5F1"/>
        <bgColor indexed="64"/>
      </patternFill>
    </fill>
    <fill>
      <patternFill patternType="solid">
        <fgColor rgb="FF59472C"/>
        <bgColor indexed="64"/>
      </patternFill>
    </fill>
    <fill>
      <patternFill patternType="solid">
        <fgColor rgb="FFECE3D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9D7D4D"/>
      </bottom>
      <diagonal/>
    </border>
    <border>
      <left style="thin">
        <color rgb="FF59472C"/>
      </left>
      <right style="thin">
        <color rgb="FF59472C"/>
      </right>
      <top style="thin">
        <color rgb="FF59472C"/>
      </top>
      <bottom style="thin">
        <color rgb="FF59472C"/>
      </bottom>
      <diagonal/>
    </border>
    <border>
      <left style="thin">
        <color rgb="FF9D7D4D"/>
      </left>
      <right style="thin">
        <color rgb="FF9D7D4D"/>
      </right>
      <top style="thin">
        <color rgb="FF9D7D4D"/>
      </top>
      <bottom style="thin">
        <color rgb="FF9D7D4D"/>
      </bottom>
      <diagonal/>
    </border>
    <border>
      <left style="thin">
        <color rgb="FFECE3D4"/>
      </left>
      <right style="thin">
        <color rgb="FFECE3D4"/>
      </right>
      <top style="thin">
        <color rgb="FFECE3D4"/>
      </top>
      <bottom style="thin">
        <color rgb="FFECE3D4"/>
      </bottom>
      <diagonal/>
    </border>
    <border>
      <left/>
      <right/>
      <top style="medium">
        <color rgb="FF9D7D4D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164" fontId="4" fillId="3" borderId="3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7" fontId="6" fillId="5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168" fontId="4" fillId="3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8" fontId="4" fillId="3" borderId="3" xfId="0" applyNumberFormat="1" applyFont="1" applyFill="1" applyBorder="1" applyAlignment="1">
      <alignment vertical="center"/>
    </xf>
    <xf numFmtId="168" fontId="4" fillId="0" borderId="4" xfId="0" applyNumberFormat="1" applyFont="1" applyBorder="1" applyAlignment="1">
      <alignment vertical="center"/>
    </xf>
    <xf numFmtId="0" fontId="8" fillId="5" borderId="5" xfId="0" applyFont="1" applyFill="1" applyBorder="1" applyAlignment="1">
      <alignment horizontal="center" vertical="center"/>
    </xf>
    <xf numFmtId="168" fontId="8" fillId="5" borderId="5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168" fontId="8" fillId="0" borderId="4" xfId="0" applyNumberFormat="1" applyFont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168" fontId="9" fillId="5" borderId="5" xfId="0" applyNumberFormat="1" applyFont="1" applyFill="1" applyBorder="1" applyAlignment="1">
      <alignment vertical="center"/>
    </xf>
    <xf numFmtId="0" fontId="4" fillId="3" borderId="3" xfId="0" applyFont="1" applyFill="1" applyBorder="1" applyAlignment="1">
      <alignment vertical="top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5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14" fillId="0" borderId="0" xfId="0" applyFont="1" applyAlignment="1">
      <alignment vertical="top" wrapText="1"/>
    </xf>
    <xf numFmtId="0" fontId="1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9D7D4D"/>
    <pageSetUpPr fitToPage="1"/>
  </sheetPr>
  <dimension ref="A1:H38"/>
  <sheetViews>
    <sheetView showGridLines="0" tabSelected="1" workbookViewId="0"/>
  </sheetViews>
  <sheetFormatPr defaultRowHeight="15"/>
  <cols>
    <col min="1" max="1" width="2.7109375" customWidth="1"/>
    <col min="2" max="2" width="6.7109375" customWidth="1"/>
    <col min="3" max="3" width="26.7109375" customWidth="1"/>
    <col min="4" max="4" width="20.7109375" customWidth="1"/>
    <col min="5" max="5" width="8.7109375" customWidth="1"/>
    <col min="6" max="6" width="7.7109375" customWidth="1"/>
    <col min="7" max="7" width="13.7109375" customWidth="1"/>
    <col min="8" max="8" width="15.7109375" customWidth="1"/>
  </cols>
  <sheetData>
    <row r="1" spans="2:8" ht="14" customHeight="1"/>
    <row r="2" spans="2:8" ht="40" customHeight="1">
      <c r="B2" s="1" t="s">
        <v>39</v>
      </c>
      <c r="C2" s="1"/>
      <c r="D2" s="1"/>
      <c r="E2" s="1"/>
      <c r="F2" s="1"/>
      <c r="G2" s="1"/>
      <c r="H2" s="1"/>
    </row>
    <row r="3" spans="2:8">
      <c r="B3" s="2" t="s">
        <v>1</v>
      </c>
      <c r="C3" s="2"/>
      <c r="D3" s="2"/>
      <c r="E3" s="2"/>
      <c r="F3" s="2"/>
      <c r="G3" s="2"/>
      <c r="H3" s="2"/>
    </row>
    <row r="4" spans="2:8">
      <c r="B4" s="3" t="s">
        <v>40</v>
      </c>
      <c r="C4" s="4"/>
      <c r="D4" s="4"/>
      <c r="E4" s="3" t="s">
        <v>41</v>
      </c>
      <c r="F4" s="4"/>
      <c r="G4" s="4"/>
      <c r="H4" s="4"/>
    </row>
    <row r="5" spans="2:8">
      <c r="B5" s="3" t="s">
        <v>42</v>
      </c>
      <c r="C5" s="4"/>
      <c r="D5" s="4"/>
      <c r="E5" s="3" t="s">
        <v>43</v>
      </c>
      <c r="F5" s="4"/>
      <c r="G5" s="4"/>
      <c r="H5" s="4"/>
    </row>
    <row r="6" spans="2:8">
      <c r="B6" s="3" t="s">
        <v>44</v>
      </c>
      <c r="C6" s="5">
        <f>TODAY()</f>
        <v>0</v>
      </c>
      <c r="D6" s="4"/>
      <c r="E6" s="3" t="s">
        <v>45</v>
      </c>
      <c r="F6" s="4"/>
      <c r="G6" s="4"/>
      <c r="H6" s="4"/>
    </row>
    <row r="7" spans="2:8">
      <c r="B7" s="3" t="s">
        <v>46</v>
      </c>
      <c r="C7" s="6">
        <v>30</v>
      </c>
      <c r="D7" s="7">
        <f>IF(C6="","",C6+C7)</f>
        <v>0</v>
      </c>
      <c r="E7" s="3" t="s">
        <v>47</v>
      </c>
      <c r="F7" s="4"/>
      <c r="G7" s="4"/>
      <c r="H7" s="4"/>
    </row>
    <row r="8" spans="2:8">
      <c r="B8" s="3" t="s">
        <v>48</v>
      </c>
      <c r="C8" s="4" t="s">
        <v>50</v>
      </c>
      <c r="D8" s="4"/>
      <c r="E8" s="3" t="s">
        <v>49</v>
      </c>
      <c r="F8" s="4"/>
      <c r="G8" s="4"/>
      <c r="H8" s="4"/>
    </row>
    <row r="10" spans="2:8" ht="32" customHeight="1">
      <c r="B10" s="8" t="s">
        <v>51</v>
      </c>
      <c r="C10" s="8"/>
      <c r="D10" s="9">
        <f>H32</f>
        <v>0</v>
      </c>
      <c r="E10" s="9"/>
      <c r="F10" s="9"/>
      <c r="G10" s="9"/>
      <c r="H10" s="9"/>
    </row>
    <row r="12" spans="2:8">
      <c r="B12" s="10" t="s">
        <v>52</v>
      </c>
      <c r="C12" s="10" t="s">
        <v>16</v>
      </c>
      <c r="D12" s="10" t="s">
        <v>17</v>
      </c>
      <c r="E12" s="10" t="s">
        <v>53</v>
      </c>
      <c r="F12" s="10" t="s">
        <v>18</v>
      </c>
      <c r="G12" s="10" t="s">
        <v>19</v>
      </c>
      <c r="H12" s="10" t="s">
        <v>54</v>
      </c>
    </row>
    <row r="13" spans="2:8">
      <c r="B13" s="11">
        <v>1</v>
      </c>
      <c r="C13" s="4" t="s">
        <v>20</v>
      </c>
      <c r="D13" s="12">
        <f>IFERROR(INDEX('단가표'!$C$4:$C$33,MATCH(C13,'단가표'!$B$4:$B$33,0)),"")</f>
        <v>0</v>
      </c>
      <c r="E13" s="13">
        <v>2</v>
      </c>
      <c r="F13" s="14">
        <f>IFERROR(INDEX('단가표'!$D$4:$D$33,MATCH(C13,'단가표'!$B$4:$B$33,0)),"")</f>
        <v>0</v>
      </c>
      <c r="G13" s="15">
        <f>IFERROR(INDEX('단가표'!$E$4:$E$33,MATCH(C13,'단가표'!$B$4:$B$33,0)),"")</f>
        <v>0</v>
      </c>
      <c r="H13" s="16">
        <f>IF(OR(E13="",G13=""),"",E13*G13)</f>
        <v>0</v>
      </c>
    </row>
    <row r="14" spans="2:8">
      <c r="B14" s="11">
        <v>2</v>
      </c>
      <c r="C14" s="4" t="s">
        <v>23</v>
      </c>
      <c r="D14" s="12">
        <f>IFERROR(INDEX('단가표'!$C$4:$C$33,MATCH(C14,'단가표'!$B$4:$B$33,0)),"")</f>
        <v>0</v>
      </c>
      <c r="E14" s="13">
        <v>4</v>
      </c>
      <c r="F14" s="14">
        <f>IFERROR(INDEX('단가표'!$D$4:$D$33,MATCH(C14,'단가표'!$B$4:$B$33,0)),"")</f>
        <v>0</v>
      </c>
      <c r="G14" s="15">
        <f>IFERROR(INDEX('단가표'!$E$4:$E$33,MATCH(C14,'단가표'!$B$4:$B$33,0)),"")</f>
        <v>0</v>
      </c>
      <c r="H14" s="16">
        <f>IF(OR(E14="",G14=""),"",E14*G14)</f>
        <v>0</v>
      </c>
    </row>
    <row r="15" spans="2:8">
      <c r="B15" s="11">
        <v>3</v>
      </c>
      <c r="C15" s="4" t="s">
        <v>26</v>
      </c>
      <c r="D15" s="12">
        <f>IFERROR(INDEX('단가표'!$C$4:$C$33,MATCH(C15,'단가표'!$B$4:$B$33,0)),"")</f>
        <v>0</v>
      </c>
      <c r="E15" s="13">
        <v>6</v>
      </c>
      <c r="F15" s="14">
        <f>IFERROR(INDEX('단가표'!$D$4:$D$33,MATCH(C15,'단가표'!$B$4:$B$33,0)),"")</f>
        <v>0</v>
      </c>
      <c r="G15" s="15">
        <f>IFERROR(INDEX('단가표'!$E$4:$E$33,MATCH(C15,'단가표'!$B$4:$B$33,0)),"")</f>
        <v>0</v>
      </c>
      <c r="H15" s="16">
        <f>IF(OR(E15="",G15=""),"",E15*G15)</f>
        <v>0</v>
      </c>
    </row>
    <row r="16" spans="2:8">
      <c r="B16" s="11">
        <v>4</v>
      </c>
      <c r="C16" s="4" t="s">
        <v>27</v>
      </c>
      <c r="D16" s="12">
        <f>IFERROR(INDEX('단가표'!$C$4:$C$33,MATCH(C16,'단가표'!$B$4:$B$33,0)),"")</f>
        <v>0</v>
      </c>
      <c r="E16" s="13">
        <v>8</v>
      </c>
      <c r="F16" s="14">
        <f>IFERROR(INDEX('단가표'!$D$4:$D$33,MATCH(C16,'단가표'!$B$4:$B$33,0)),"")</f>
        <v>0</v>
      </c>
      <c r="G16" s="15">
        <f>IFERROR(INDEX('단가표'!$E$4:$E$33,MATCH(C16,'단가표'!$B$4:$B$33,0)),"")</f>
        <v>0</v>
      </c>
      <c r="H16" s="16">
        <f>IF(OR(E16="",G16=""),"",E16*G16)</f>
        <v>0</v>
      </c>
    </row>
    <row r="17" spans="2:8">
      <c r="B17" s="11">
        <v>5</v>
      </c>
      <c r="C17" s="4"/>
      <c r="D17" s="12">
        <f>IFERROR(INDEX('단가표'!$C$4:$C$33,MATCH(C17,'단가표'!$B$4:$B$33,0)),"")</f>
        <v>0</v>
      </c>
      <c r="E17" s="13"/>
      <c r="F17" s="14">
        <f>IFERROR(INDEX('단가표'!$D$4:$D$33,MATCH(C17,'단가표'!$B$4:$B$33,0)),"")</f>
        <v>0</v>
      </c>
      <c r="G17" s="15">
        <f>IFERROR(INDEX('단가표'!$E$4:$E$33,MATCH(C17,'단가표'!$B$4:$B$33,0)),"")</f>
        <v>0</v>
      </c>
      <c r="H17" s="16">
        <f>IF(OR(E17="",G17=""),"",E17*G17)</f>
        <v>0</v>
      </c>
    </row>
    <row r="18" spans="2:8">
      <c r="B18" s="11">
        <v>6</v>
      </c>
      <c r="C18" s="4"/>
      <c r="D18" s="12">
        <f>IFERROR(INDEX('단가표'!$C$4:$C$33,MATCH(C18,'단가표'!$B$4:$B$33,0)),"")</f>
        <v>0</v>
      </c>
      <c r="E18" s="13"/>
      <c r="F18" s="14">
        <f>IFERROR(INDEX('단가표'!$D$4:$D$33,MATCH(C18,'단가표'!$B$4:$B$33,0)),"")</f>
        <v>0</v>
      </c>
      <c r="G18" s="15">
        <f>IFERROR(INDEX('단가표'!$E$4:$E$33,MATCH(C18,'단가표'!$B$4:$B$33,0)),"")</f>
        <v>0</v>
      </c>
      <c r="H18" s="16">
        <f>IF(OR(E18="",G18=""),"",E18*G18)</f>
        <v>0</v>
      </c>
    </row>
    <row r="19" spans="2:8">
      <c r="B19" s="11">
        <v>7</v>
      </c>
      <c r="C19" s="4"/>
      <c r="D19" s="12">
        <f>IFERROR(INDEX('단가표'!$C$4:$C$33,MATCH(C19,'단가표'!$B$4:$B$33,0)),"")</f>
        <v>0</v>
      </c>
      <c r="E19" s="13"/>
      <c r="F19" s="14">
        <f>IFERROR(INDEX('단가표'!$D$4:$D$33,MATCH(C19,'단가표'!$B$4:$B$33,0)),"")</f>
        <v>0</v>
      </c>
      <c r="G19" s="15">
        <f>IFERROR(INDEX('단가표'!$E$4:$E$33,MATCH(C19,'단가표'!$B$4:$B$33,0)),"")</f>
        <v>0</v>
      </c>
      <c r="H19" s="16">
        <f>IF(OR(E19="",G19=""),"",E19*G19)</f>
        <v>0</v>
      </c>
    </row>
    <row r="20" spans="2:8">
      <c r="B20" s="11">
        <v>8</v>
      </c>
      <c r="C20" s="4"/>
      <c r="D20" s="12">
        <f>IFERROR(INDEX('단가표'!$C$4:$C$33,MATCH(C20,'단가표'!$B$4:$B$33,0)),"")</f>
        <v>0</v>
      </c>
      <c r="E20" s="13"/>
      <c r="F20" s="14">
        <f>IFERROR(INDEX('단가표'!$D$4:$D$33,MATCH(C20,'단가표'!$B$4:$B$33,0)),"")</f>
        <v>0</v>
      </c>
      <c r="G20" s="15">
        <f>IFERROR(INDEX('단가표'!$E$4:$E$33,MATCH(C20,'단가표'!$B$4:$B$33,0)),"")</f>
        <v>0</v>
      </c>
      <c r="H20" s="16">
        <f>IF(OR(E20="",G20=""),"",E20*G20)</f>
        <v>0</v>
      </c>
    </row>
    <row r="21" spans="2:8">
      <c r="B21" s="11">
        <v>9</v>
      </c>
      <c r="C21" s="4"/>
      <c r="D21" s="12">
        <f>IFERROR(INDEX('단가표'!$C$4:$C$33,MATCH(C21,'단가표'!$B$4:$B$33,0)),"")</f>
        <v>0</v>
      </c>
      <c r="E21" s="13"/>
      <c r="F21" s="14">
        <f>IFERROR(INDEX('단가표'!$D$4:$D$33,MATCH(C21,'단가표'!$B$4:$B$33,0)),"")</f>
        <v>0</v>
      </c>
      <c r="G21" s="15">
        <f>IFERROR(INDEX('단가표'!$E$4:$E$33,MATCH(C21,'단가표'!$B$4:$B$33,0)),"")</f>
        <v>0</v>
      </c>
      <c r="H21" s="16">
        <f>IF(OR(E21="",G21=""),"",E21*G21)</f>
        <v>0</v>
      </c>
    </row>
    <row r="22" spans="2:8">
      <c r="B22" s="11">
        <v>10</v>
      </c>
      <c r="C22" s="4"/>
      <c r="D22" s="12">
        <f>IFERROR(INDEX('단가표'!$C$4:$C$33,MATCH(C22,'단가표'!$B$4:$B$33,0)),"")</f>
        <v>0</v>
      </c>
      <c r="E22" s="13"/>
      <c r="F22" s="14">
        <f>IFERROR(INDEX('단가표'!$D$4:$D$33,MATCH(C22,'단가표'!$B$4:$B$33,0)),"")</f>
        <v>0</v>
      </c>
      <c r="G22" s="15">
        <f>IFERROR(INDEX('단가표'!$E$4:$E$33,MATCH(C22,'단가표'!$B$4:$B$33,0)),"")</f>
        <v>0</v>
      </c>
      <c r="H22" s="16">
        <f>IF(OR(E22="",G22=""),"",E22*G22)</f>
        <v>0</v>
      </c>
    </row>
    <row r="23" spans="2:8">
      <c r="B23" s="11">
        <v>11</v>
      </c>
      <c r="C23" s="4"/>
      <c r="D23" s="12">
        <f>IFERROR(INDEX('단가표'!$C$4:$C$33,MATCH(C23,'단가표'!$B$4:$B$33,0)),"")</f>
        <v>0</v>
      </c>
      <c r="E23" s="13"/>
      <c r="F23" s="14">
        <f>IFERROR(INDEX('단가표'!$D$4:$D$33,MATCH(C23,'단가표'!$B$4:$B$33,0)),"")</f>
        <v>0</v>
      </c>
      <c r="G23" s="15">
        <f>IFERROR(INDEX('단가표'!$E$4:$E$33,MATCH(C23,'단가표'!$B$4:$B$33,0)),"")</f>
        <v>0</v>
      </c>
      <c r="H23" s="16">
        <f>IF(OR(E23="",G23=""),"",E23*G23)</f>
        <v>0</v>
      </c>
    </row>
    <row r="24" spans="2:8">
      <c r="B24" s="11">
        <v>12</v>
      </c>
      <c r="C24" s="4"/>
      <c r="D24" s="12">
        <f>IFERROR(INDEX('단가표'!$C$4:$C$33,MATCH(C24,'단가표'!$B$4:$B$33,0)),"")</f>
        <v>0</v>
      </c>
      <c r="E24" s="13"/>
      <c r="F24" s="14">
        <f>IFERROR(INDEX('단가표'!$D$4:$D$33,MATCH(C24,'단가표'!$B$4:$B$33,0)),"")</f>
        <v>0</v>
      </c>
      <c r="G24" s="15">
        <f>IFERROR(INDEX('단가표'!$E$4:$E$33,MATCH(C24,'단가표'!$B$4:$B$33,0)),"")</f>
        <v>0</v>
      </c>
      <c r="H24" s="16">
        <f>IF(OR(E24="",G24=""),"",E24*G24)</f>
        <v>0</v>
      </c>
    </row>
    <row r="25" spans="2:8">
      <c r="B25" s="11">
        <v>13</v>
      </c>
      <c r="C25" s="4"/>
      <c r="D25" s="12">
        <f>IFERROR(INDEX('단가표'!$C$4:$C$33,MATCH(C25,'단가표'!$B$4:$B$33,0)),"")</f>
        <v>0</v>
      </c>
      <c r="E25" s="13"/>
      <c r="F25" s="14">
        <f>IFERROR(INDEX('단가표'!$D$4:$D$33,MATCH(C25,'단가표'!$B$4:$B$33,0)),"")</f>
        <v>0</v>
      </c>
      <c r="G25" s="15">
        <f>IFERROR(INDEX('단가표'!$E$4:$E$33,MATCH(C25,'단가표'!$B$4:$B$33,0)),"")</f>
        <v>0</v>
      </c>
      <c r="H25" s="16">
        <f>IF(OR(E25="",G25=""),"",E25*G25)</f>
        <v>0</v>
      </c>
    </row>
    <row r="26" spans="2:8">
      <c r="B26" s="11">
        <v>14</v>
      </c>
      <c r="C26" s="4"/>
      <c r="D26" s="12">
        <f>IFERROR(INDEX('단가표'!$C$4:$C$33,MATCH(C26,'단가표'!$B$4:$B$33,0)),"")</f>
        <v>0</v>
      </c>
      <c r="E26" s="13"/>
      <c r="F26" s="14">
        <f>IFERROR(INDEX('단가표'!$D$4:$D$33,MATCH(C26,'단가표'!$B$4:$B$33,0)),"")</f>
        <v>0</v>
      </c>
      <c r="G26" s="15">
        <f>IFERROR(INDEX('단가표'!$E$4:$E$33,MATCH(C26,'단가표'!$B$4:$B$33,0)),"")</f>
        <v>0</v>
      </c>
      <c r="H26" s="16">
        <f>IF(OR(E26="",G26=""),"",E26*G26)</f>
        <v>0</v>
      </c>
    </row>
    <row r="27" spans="2:8">
      <c r="B27" s="11">
        <v>15</v>
      </c>
      <c r="C27" s="4"/>
      <c r="D27" s="12">
        <f>IFERROR(INDEX('단가표'!$C$4:$C$33,MATCH(C27,'단가표'!$B$4:$B$33,0)),"")</f>
        <v>0</v>
      </c>
      <c r="E27" s="13"/>
      <c r="F27" s="14">
        <f>IFERROR(INDEX('단가표'!$D$4:$D$33,MATCH(C27,'단가표'!$B$4:$B$33,0)),"")</f>
        <v>0</v>
      </c>
      <c r="G27" s="15">
        <f>IFERROR(INDEX('단가표'!$E$4:$E$33,MATCH(C27,'단가표'!$B$4:$B$33,0)),"")</f>
        <v>0</v>
      </c>
      <c r="H27" s="16">
        <f>IF(OR(E27="",G27=""),"",E27*G27)</f>
        <v>0</v>
      </c>
    </row>
    <row r="28" spans="2:8">
      <c r="B28" s="17" t="s">
        <v>55</v>
      </c>
      <c r="C28" s="17"/>
      <c r="D28" s="17"/>
      <c r="E28" s="17"/>
      <c r="F28" s="17"/>
      <c r="G28" s="17"/>
      <c r="H28" s="18">
        <f>SUM(H13:H27)</f>
        <v>0</v>
      </c>
    </row>
    <row r="29" spans="2:8">
      <c r="B29" s="14" t="s">
        <v>56</v>
      </c>
      <c r="C29" s="14"/>
      <c r="D29" s="14"/>
      <c r="E29" s="14"/>
      <c r="F29" s="14"/>
      <c r="G29" s="14"/>
      <c r="H29" s="15">
        <v>0</v>
      </c>
    </row>
    <row r="30" spans="2:8">
      <c r="B30" s="19" t="s">
        <v>57</v>
      </c>
      <c r="C30" s="19"/>
      <c r="D30" s="19"/>
      <c r="E30" s="19"/>
      <c r="F30" s="19"/>
      <c r="G30" s="19"/>
      <c r="H30" s="20">
        <f>H28-H29</f>
        <v>0</v>
      </c>
    </row>
    <row r="31" spans="2:8">
      <c r="B31" s="14" t="s">
        <v>58</v>
      </c>
      <c r="C31" s="14"/>
      <c r="D31" s="14"/>
      <c r="E31" s="14"/>
      <c r="F31" s="21" t="s">
        <v>59</v>
      </c>
      <c r="G31" s="12"/>
      <c r="H31" s="16">
        <f>IF(F31="별도",ROUND(H30*0.1,0),IF(F31="포함",ROUND(H30/11,0),0))</f>
        <v>0</v>
      </c>
    </row>
    <row r="32" spans="2:8">
      <c r="B32" s="17" t="s">
        <v>60</v>
      </c>
      <c r="C32" s="17"/>
      <c r="D32" s="17"/>
      <c r="E32" s="17"/>
      <c r="F32" s="17"/>
      <c r="G32" s="17"/>
      <c r="H32" s="22">
        <f>H30+IF(F31="별도",H31,0)</f>
        <v>0</v>
      </c>
    </row>
    <row r="33" spans="2:8">
      <c r="B33" s="3" t="s">
        <v>61</v>
      </c>
      <c r="C33" s="23" t="s">
        <v>62</v>
      </c>
      <c r="D33" s="23"/>
      <c r="E33" s="23"/>
      <c r="F33" s="23"/>
      <c r="G33" s="23"/>
      <c r="H33" s="23"/>
    </row>
    <row r="34" spans="2:8">
      <c r="C34" s="23"/>
      <c r="D34" s="23"/>
      <c r="E34" s="23"/>
      <c r="F34" s="23"/>
      <c r="G34" s="23"/>
      <c r="H34" s="23"/>
    </row>
    <row r="35" spans="2:8">
      <c r="C35" s="23"/>
      <c r="D35" s="23"/>
      <c r="E35" s="23"/>
      <c r="F35" s="23"/>
      <c r="G35" s="23"/>
      <c r="H35" s="23"/>
    </row>
    <row r="36" spans="2:8">
      <c r="C36" s="23"/>
      <c r="D36" s="23"/>
      <c r="E36" s="23"/>
      <c r="F36" s="23"/>
      <c r="G36" s="23"/>
      <c r="H36" s="23"/>
    </row>
    <row r="38" spans="2:8">
      <c r="B38" s="24" t="s">
        <v>63</v>
      </c>
      <c r="C38" s="24"/>
      <c r="D38" s="24"/>
      <c r="E38" s="24"/>
      <c r="F38" s="24"/>
      <c r="G38" s="24"/>
      <c r="H38" s="24"/>
    </row>
  </sheetData>
  <mergeCells count="19">
    <mergeCell ref="B2:H2"/>
    <mergeCell ref="B3:H3"/>
    <mergeCell ref="F4:H4"/>
    <mergeCell ref="F5:H5"/>
    <mergeCell ref="F6:H6"/>
    <mergeCell ref="F7:H7"/>
    <mergeCell ref="F8:H8"/>
    <mergeCell ref="C4:D4"/>
    <mergeCell ref="C5:D5"/>
    <mergeCell ref="C8:D8"/>
    <mergeCell ref="B10:C10"/>
    <mergeCell ref="D10:H10"/>
    <mergeCell ref="B28:G28"/>
    <mergeCell ref="B29:G29"/>
    <mergeCell ref="B30:G30"/>
    <mergeCell ref="B31:E31"/>
    <mergeCell ref="B32:G32"/>
    <mergeCell ref="C33:H36"/>
    <mergeCell ref="B38:H38"/>
  </mergeCells>
  <dataValidations count="4">
    <dataValidation type="whole" allowBlank="1" showInputMessage="1" showErrorMessage="1" error="유효기간은 1~365일 사이로 입력해 주세요." sqref="C7">
      <formula1>1</formula1>
      <formula2>365</formula2>
    </dataValidation>
    <dataValidation type="list" errorStyle="information" allowBlank="1" showInputMessage="1" showErrorMessage="1" errorTitle="목록에 없는 품목" error="목록에 없어도 직접 써도 돼요." sqref="C13:C27">
      <formula1>ItemNames</formula1>
    </dataValidation>
    <dataValidation type="decimal" operator="greaterThanOrEqual" allowBlank="1" showInputMessage="1" showErrorMessage="1" error="0 이상의 숫자를 입력해 주세요." sqref="E13:E27">
      <formula1>0</formula1>
    </dataValidation>
    <dataValidation type="list" allowBlank="1" showInputMessage="1" showErrorMessage="1" sqref="F31">
      <formula1>"별도,포함,면세"</formula1>
    </dataValidation>
  </dataValidations>
  <printOptions horizontalCentered="1"/>
  <pageMargins left="0.5" right="0.5" top="0.6" bottom="0.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438289"/>
  </sheetPr>
  <dimension ref="B1:E33"/>
  <sheetViews>
    <sheetView showGridLines="0" workbookViewId="0"/>
  </sheetViews>
  <sheetFormatPr defaultRowHeight="15"/>
  <cols>
    <col min="1" max="1" width="3.7109375" customWidth="1"/>
    <col min="2" max="2" width="24.7109375" customWidth="1"/>
    <col min="3" max="3" width="18.7109375" customWidth="1"/>
    <col min="4" max="4" width="8.7109375" customWidth="1"/>
    <col min="5" max="5" width="14.7109375" customWidth="1"/>
  </cols>
  <sheetData>
    <row r="1" spans="2:5">
      <c r="B1" s="25" t="s">
        <v>15</v>
      </c>
      <c r="C1" s="25"/>
      <c r="D1" s="25"/>
      <c r="E1" s="25"/>
    </row>
    <row r="3" spans="2:5">
      <c r="B3" s="10" t="s">
        <v>16</v>
      </c>
      <c r="C3" s="10" t="s">
        <v>17</v>
      </c>
      <c r="D3" s="10" t="s">
        <v>18</v>
      </c>
      <c r="E3" s="10" t="s">
        <v>19</v>
      </c>
    </row>
    <row r="4" spans="2:5">
      <c r="B4" s="4" t="s">
        <v>20</v>
      </c>
      <c r="C4" s="4" t="s">
        <v>21</v>
      </c>
      <c r="D4" s="21" t="s">
        <v>22</v>
      </c>
      <c r="E4" s="15">
        <v>1200</v>
      </c>
    </row>
    <row r="5" spans="2:5">
      <c r="B5" s="4" t="s">
        <v>23</v>
      </c>
      <c r="C5" s="4" t="s">
        <v>24</v>
      </c>
      <c r="D5" s="21" t="s">
        <v>25</v>
      </c>
      <c r="E5" s="15">
        <v>57500</v>
      </c>
    </row>
    <row r="6" spans="2:5">
      <c r="B6" s="4" t="s">
        <v>26</v>
      </c>
      <c r="C6" s="4" t="s">
        <v>21</v>
      </c>
      <c r="D6" s="21" t="s">
        <v>22</v>
      </c>
      <c r="E6" s="15">
        <v>4600</v>
      </c>
    </row>
    <row r="7" spans="2:5">
      <c r="B7" s="4" t="s">
        <v>27</v>
      </c>
      <c r="C7" s="4" t="s">
        <v>28</v>
      </c>
      <c r="D7" s="21" t="s">
        <v>29</v>
      </c>
      <c r="E7" s="15">
        <v>460000</v>
      </c>
    </row>
    <row r="8" spans="2:5">
      <c r="B8" s="4" t="s">
        <v>30</v>
      </c>
      <c r="C8" s="4" t="s">
        <v>31</v>
      </c>
      <c r="D8" s="21" t="s">
        <v>29</v>
      </c>
      <c r="E8" s="15">
        <v>920000</v>
      </c>
    </row>
    <row r="9" spans="2:5">
      <c r="B9" s="4" t="s">
        <v>32</v>
      </c>
      <c r="C9" s="4" t="s">
        <v>33</v>
      </c>
      <c r="D9" s="21" t="s">
        <v>34</v>
      </c>
      <c r="E9" s="15">
        <v>9200</v>
      </c>
    </row>
    <row r="10" spans="2:5">
      <c r="B10" s="4" t="s">
        <v>35</v>
      </c>
      <c r="C10" s="4" t="s">
        <v>24</v>
      </c>
      <c r="D10" s="21" t="s">
        <v>25</v>
      </c>
      <c r="E10" s="15">
        <v>115000</v>
      </c>
    </row>
    <row r="11" spans="2:5">
      <c r="B11" s="4" t="s">
        <v>36</v>
      </c>
      <c r="C11" s="4" t="s">
        <v>37</v>
      </c>
      <c r="D11" s="21" t="s">
        <v>38</v>
      </c>
      <c r="E11" s="15">
        <v>34500</v>
      </c>
    </row>
    <row r="12" spans="2:5">
      <c r="B12" s="4"/>
      <c r="C12" s="4"/>
      <c r="D12" s="21"/>
      <c r="E12" s="15"/>
    </row>
    <row r="13" spans="2:5">
      <c r="B13" s="4"/>
      <c r="C13" s="4"/>
      <c r="D13" s="21"/>
      <c r="E13" s="15"/>
    </row>
    <row r="14" spans="2:5">
      <c r="B14" s="4"/>
      <c r="C14" s="4"/>
      <c r="D14" s="21"/>
      <c r="E14" s="15"/>
    </row>
    <row r="15" spans="2:5">
      <c r="B15" s="4"/>
      <c r="C15" s="4"/>
      <c r="D15" s="21"/>
      <c r="E15" s="15"/>
    </row>
    <row r="16" spans="2:5">
      <c r="B16" s="4"/>
      <c r="C16" s="4"/>
      <c r="D16" s="21"/>
      <c r="E16" s="15"/>
    </row>
    <row r="17" spans="2:5">
      <c r="B17" s="4"/>
      <c r="C17" s="4"/>
      <c r="D17" s="21"/>
      <c r="E17" s="15"/>
    </row>
    <row r="18" spans="2:5">
      <c r="B18" s="4"/>
      <c r="C18" s="4"/>
      <c r="D18" s="21"/>
      <c r="E18" s="15"/>
    </row>
    <row r="19" spans="2:5">
      <c r="B19" s="4"/>
      <c r="C19" s="4"/>
      <c r="D19" s="21"/>
      <c r="E19" s="15"/>
    </row>
    <row r="20" spans="2:5">
      <c r="B20" s="4"/>
      <c r="C20" s="4"/>
      <c r="D20" s="21"/>
      <c r="E20" s="15"/>
    </row>
    <row r="21" spans="2:5">
      <c r="B21" s="4"/>
      <c r="C21" s="4"/>
      <c r="D21" s="21"/>
      <c r="E21" s="15"/>
    </row>
    <row r="22" spans="2:5">
      <c r="B22" s="4"/>
      <c r="C22" s="4"/>
      <c r="D22" s="21"/>
      <c r="E22" s="15"/>
    </row>
    <row r="23" spans="2:5">
      <c r="B23" s="4"/>
      <c r="C23" s="4"/>
      <c r="D23" s="21"/>
      <c r="E23" s="15"/>
    </row>
    <row r="24" spans="2:5">
      <c r="B24" s="4"/>
      <c r="C24" s="4"/>
      <c r="D24" s="21"/>
      <c r="E24" s="15"/>
    </row>
    <row r="25" spans="2:5">
      <c r="B25" s="4"/>
      <c r="C25" s="4"/>
      <c r="D25" s="21"/>
      <c r="E25" s="15"/>
    </row>
    <row r="26" spans="2:5">
      <c r="B26" s="4"/>
      <c r="C26" s="4"/>
      <c r="D26" s="21"/>
      <c r="E26" s="15"/>
    </row>
    <row r="27" spans="2:5">
      <c r="B27" s="4"/>
      <c r="C27" s="4"/>
      <c r="D27" s="21"/>
      <c r="E27" s="15"/>
    </row>
    <row r="28" spans="2:5">
      <c r="B28" s="4"/>
      <c r="C28" s="4"/>
      <c r="D28" s="21"/>
      <c r="E28" s="15"/>
    </row>
    <row r="29" spans="2:5">
      <c r="B29" s="4"/>
      <c r="C29" s="4"/>
      <c r="D29" s="21"/>
      <c r="E29" s="15"/>
    </row>
    <row r="30" spans="2:5">
      <c r="B30" s="4"/>
      <c r="C30" s="4"/>
      <c r="D30" s="21"/>
      <c r="E30" s="15"/>
    </row>
    <row r="31" spans="2:5">
      <c r="B31" s="4"/>
      <c r="C31" s="4"/>
      <c r="D31" s="21"/>
      <c r="E31" s="15"/>
    </row>
    <row r="32" spans="2:5">
      <c r="B32" s="4"/>
      <c r="C32" s="4"/>
      <c r="D32" s="21"/>
      <c r="E32" s="15"/>
    </row>
    <row r="33" spans="2:5">
      <c r="B33" s="4"/>
      <c r="C33" s="4"/>
      <c r="D33" s="21"/>
      <c r="E33" s="15"/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9D7D4D"/>
    <pageSetUpPr fitToPage="1"/>
  </sheetPr>
  <dimension ref="A2:C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26" t="s">
        <v>0</v>
      </c>
      <c r="C2" s="26"/>
    </row>
    <row r="3" spans="2:3">
      <c r="B3" s="27" t="s">
        <v>1</v>
      </c>
      <c r="C3" s="27"/>
    </row>
    <row r="4" spans="2:3">
      <c r="B4" s="28" t="s">
        <v>2</v>
      </c>
      <c r="C4" s="28"/>
    </row>
    <row r="5" spans="2:3" ht="6" customHeight="1"/>
    <row r="6" spans="2:3">
      <c r="B6" s="29" t="s">
        <v>3</v>
      </c>
      <c r="C6" s="30"/>
    </row>
    <row r="7" spans="2:3" ht="22" customHeight="1">
      <c r="B7" s="31" t="s">
        <v>4</v>
      </c>
      <c r="C7" s="32" t="s">
        <v>5</v>
      </c>
    </row>
    <row r="8" spans="2:3" ht="32" customHeight="1">
      <c r="B8" s="31" t="s">
        <v>6</v>
      </c>
      <c r="C8" s="32" t="s">
        <v>7</v>
      </c>
    </row>
    <row r="9" spans="2:3" ht="22" customHeight="1">
      <c r="B9" s="31" t="s">
        <v>8</v>
      </c>
      <c r="C9" s="32" t="s">
        <v>9</v>
      </c>
    </row>
    <row r="10" spans="2:3" ht="32" customHeight="1">
      <c r="B10" s="31" t="s">
        <v>10</v>
      </c>
      <c r="C10" s="32" t="s">
        <v>11</v>
      </c>
    </row>
    <row r="12" spans="2:3" ht="28" customHeight="1">
      <c r="B12" s="33" t="s">
        <v>12</v>
      </c>
      <c r="C12" s="33"/>
    </row>
    <row r="13" spans="2:3" ht="28" customHeight="1">
      <c r="B13" s="33" t="s">
        <v>13</v>
      </c>
      <c r="C13" s="33"/>
    </row>
    <row r="15" spans="2:3">
      <c r="B15" s="34" t="s">
        <v>14</v>
      </c>
      <c r="C15" s="34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견적서</vt:lpstr>
      <vt:lpstr>단가표</vt:lpstr>
      <vt:lpstr>사용법</vt:lpstr>
      <vt:lpstr>ItemNames</vt:lpstr>
      <vt:lpstr>견적서!Print_Area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교육·강의 견적서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2026-10-19T10:50:17Z</dcterms:created>
  <dcterms:modified xsi:type="dcterms:W3CDTF">2026-10-19T10:50:17Z</dcterms:modified>
</cp:coreProperties>
</file>