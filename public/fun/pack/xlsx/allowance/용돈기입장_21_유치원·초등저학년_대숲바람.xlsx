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<sst xmlns="http://schemas.openxmlformats.org/spreadsheetml/2006/main" count="89" uniqueCount="44">
  <si>
    <t>유치원·초등 저학년 용돈기입장</t>
  </si>
  <si>
    <t>대숲 바람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</si>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</sst>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1C3629"/>
      <name val="맑은 고딕"/>
      <family val="2"/>
    </font>
    <font>
      <i/>
      <sz val="11"/>
      <color rgb="FF396F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3629"/>
      <name val="맑은 고딕"/>
      <family val="2"/>
    </font>
    <font>
      <sz val="9"/>
      <color rgb="FF396F54"/>
      <name val="맑은 고딕"/>
      <family val="2"/>
    </font>
    <font>
      <b/>
      <sz val="18"/>
      <color rgb="FF1C3629"/>
      <name val="맑은 고딕"/>
      <family val="2"/>
    </font>
    <font>
      <i/>
      <sz val="10"/>
      <color rgb="FF396F54"/>
      <name val="맑은 고딕"/>
      <family val="2"/>
    </font>
    <font>
      <b/>
      <sz val="10"/>
      <color theme="1"/>
      <name val="맑은 고딕"/>
      <family val="2"/>
    </font>
    <font>
      <b/>
      <sz val="16"/>
      <color rgb="FF1C3629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96F54"/>
        <bgColor indexed="64"/>
      </patternFill>
    </fill>
    <fill>
      <patternFill patternType="solid">
        <fgColor rgb="FFD5ECE0"/>
        <bgColor indexed="64"/>
      </patternFill>
    </fill>
    <fill>
      <patternFill patternType="solid">
        <fgColor rgb="FFF2F8F5"/>
        <bgColor indexed="64"/>
      </patternFill>
    </fill>
  </fills>
  <borders count="5">
    <border>
      <left/>
      <right/>
      <top/>
      <bottom/>
      <diagonal/>
    </border>
    <border>
      <left style="thin">
        <color rgb="FFD5ECE0"/>
      </left>
      <right style="thin">
        <color rgb="FFD5ECE0"/>
      </right>
      <top style="thin">
        <color rgb="FFD5ECE0"/>
      </top>
      <bottom style="thin">
        <color rgb="FFD5ECE0"/>
      </bottom>
      <diagonal/>
    </border>
    <border>
      <left style="thin">
        <color rgb="FF1C3629"/>
      </left>
      <right style="thin">
        <color rgb="FF1C3629"/>
      </right>
      <top style="thin">
        <color rgb="FF1C3629"/>
      </top>
      <bottom style="thin">
        <color rgb="FF1C3629"/>
      </bottom>
      <diagonal/>
    </border>
    <border>
      <left style="thin">
        <color rgb="FF396F54"/>
      </left>
      <right style="thin">
        <color rgb="FF396F54"/>
      </right>
      <top style="thin">
        <color rgb="FF396F54"/>
      </top>
      <bottom style="thin">
        <color rgb="FF396F54"/>
      </bottom>
      <diagonal/>
    </border>
    <border>
      <left/>
      <right/>
      <top style="medium">
        <color rgb="FF396F5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305E47"/>
              </a:solidFill>
            </c:spPr>
          </c:dPt>
          <c:dPt>
            <c:idx val="1"/>
            <c:spPr>
              <a:solidFill>
                <a:srgbClr val="467E70"/>
              </a:solidFill>
            </c:spPr>
          </c:dPt>
          <c:dPt>
            <c:idx val="2"/>
            <c:spPr>
              <a:solidFill>
                <a:srgbClr val="54A4A3"/>
              </a:solidFill>
            </c:spPr>
          </c:dPt>
          <c:dPt>
            <c:idx val="3"/>
            <c:spPr>
              <a:solidFill>
                <a:srgbClr val="79B597"/>
              </a:solidFill>
            </c:spPr>
          </c:dPt>
          <c:dPt>
            <c:idx val="4"/>
            <c:spPr>
              <a:solidFill>
                <a:srgbClr val="99CABD"/>
              </a:solidFill>
            </c:spPr>
          </c:dPt>
          <c:dPt>
            <c:idx val="5"/>
            <c:spPr>
              <a:solidFill>
                <a:srgbClr val="BDDBDA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874587"/>
            </a:solidFill>
            <a:ln>
              <a:solidFill>
                <a:srgbClr val="874587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396F54"/>
            </a:solidFill>
            <a:ln>
              <a:solidFill>
                <a:srgbClr val="396F54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23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23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24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29</v>
      </c>
      <c r="C1" s="20"/>
      <c r="D1" s="20"/>
      <c r="E1" s="20"/>
      <c r="F1" s="20"/>
      <c r="G1" s="20"/>
      <c r="H1" s="20"/>
      <c r="I1" s="20"/>
    </row>
    <row r="4" spans="2:9">
      <c r="B4" s="11" t="s">
        <v>30</v>
      </c>
      <c r="C4" s="11" t="s">
        <v>18</v>
      </c>
      <c r="D4" s="11" t="s">
        <v>19</v>
      </c>
      <c r="E4" s="11" t="s">
        <v>31</v>
      </c>
      <c r="H4" s="11" t="s">
        <v>17</v>
      </c>
      <c r="I4" s="11" t="s">
        <v>33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28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32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32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4587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34</v>
      </c>
      <c r="C1" s="20"/>
    </row>
    <row r="3" spans="2:3" x14ac:dyDescent="0.25">
      <c r="B3" s="11" t="s">
        <v>35</v>
      </c>
      <c r="C3" s="27" t="s">
        <v>36</v>
      </c>
    </row>
    <row r="4" spans="2:3" x14ac:dyDescent="0.25">
      <c r="B4" s="11" t="s">
        <v>37</v>
      </c>
      <c r="C4" s="14">
        <v>30000</v>
      </c>
    </row>
    <row r="6" spans="2:3" x14ac:dyDescent="0.25">
      <c r="B6" s="28" t="s">
        <v>38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39</v>
      </c>
      <c r="C7" s="30">
        <f>IF(C4=0,0,C6/C4)</f>
        <v>0</v>
      </c>
    </row>
    <row r="8" spans="2:3" x14ac:dyDescent="0.25">
      <c r="B8" s="28" t="s">
        <v>40</v>
      </c>
      <c r="C8" s="29">
        <f>MAX(0,C4-C6)</f>
        <v>0</v>
      </c>
    </row>
    <row r="9" spans="2:3" x14ac:dyDescent="0.25">
      <c r="B9" s="28" t="s">
        <v>41</v>
      </c>
      <c r="C9" s="29">
        <f>IFERROR(AVERAGEIF('월요약'!$E$5:$E$16,"&lt;&gt;0"),0)</f>
        <v>0</v>
      </c>
    </row>
    <row r="10" spans="2:3" x14ac:dyDescent="0.25">
      <c r="B10" s="28" t="s">
        <v>42</v>
      </c>
      <c r="C10" s="31">
        <f>IF(C9&lt;=0,"-",IF(C8=0,"달성!",ROUNDUP(C8/C9,0)&amp;"개월"))</f>
        <v>0</v>
      </c>
    </row>
    <row r="12" spans="2:3" x14ac:dyDescent="0.25">
      <c r="B12" s="8" t="s">
        <v>43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396F54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96F5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2026-10-22T07:17:02Z</dcterms:created>
  <dcterms:modified xsi:type="dcterms:W3CDTF">2026-10-22T07:17:02Z</dcterms:modified>
</cp:coreProperties>
</file>