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'월요약'!$H$5:$H$10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<sst xmlns="http://schemas.openxmlformats.org/spreadsheetml/2006/main" count="91" uniqueCount="45">
  <si>
    <t>유치원·초등 저학년 용돈기입장</t>
  </si>
  <si>
    <t>“오늘 쓴 돈 한 줄이 내일의 습관이 돼요”</t>
  </si>
  <si>
    <t>매화 피는 아침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</si>
  <si>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</si>
  <si>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</si>
  <si>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</si>
  <si>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</si>
  <si>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</si>
  <si>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</si>
  <si>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</si>
  <si>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</si>
  <si>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</si>
  <si>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</si>
  <si>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</si>
  <si>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</si>
  <si>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</si>
  <si>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</si>
  <si>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</si>
  <si>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</si>
  <si>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</si>
  <si>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</si>
  <si>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</si>
  <si>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</si>
  <si>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</si>
  <si>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장난감</t>
  </si>
  <si>
    <t>문구</t>
  </si>
  <si>
    <t>저금</t>
  </si>
  <si>
    <t>나눔·선물</t>
  </si>
  <si>
    <t>기타</t>
  </si>
  <si>
    <t>간식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</si>
  <si>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</si>
  <si>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</si>
  <si>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</si>
  <si>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</si>
  <si>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</si>
  <si>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</si>
  <si>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</si>
  <si>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갖고 싶은 장난감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</si>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</sst>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742F4C"/>
      <name val="맑은 고딕"/>
      <family val="2"/>
    </font>
    <font>
      <i/>
      <sz val="11"/>
      <color rgb="FFB8517C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742F4C"/>
      <name val="맑은 고딕"/>
      <family val="2"/>
    </font>
    <font>
      <sz val="9"/>
      <color rgb="FFB8517C"/>
      <name val="맑은 고딕"/>
      <family val="2"/>
    </font>
    <font>
      <b/>
      <sz val="18"/>
      <color rgb="FF742F4C"/>
      <name val="맑은 고딕"/>
      <family val="2"/>
    </font>
    <font>
      <i/>
      <sz val="10"/>
      <color rgb="FFB8517C"/>
      <name val="맑은 고딕"/>
      <family val="2"/>
    </font>
    <font>
      <b/>
      <sz val="10"/>
      <color theme="1"/>
      <name val="맑은 고딕"/>
      <family val="2"/>
    </font>
    <font>
      <b/>
      <sz val="16"/>
      <color rgb="FF742F4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B8517C"/>
        <bgColor indexed="64"/>
      </patternFill>
    </fill>
    <fill>
      <patternFill patternType="solid">
        <fgColor rgb="FFEFD2DE"/>
        <bgColor indexed="64"/>
      </patternFill>
    </fill>
    <fill>
      <patternFill patternType="solid">
        <fgColor rgb="FFF9F1F4"/>
        <bgColor indexed="64"/>
      </patternFill>
    </fill>
  </fills>
  <borders count="5">
    <border>
      <left/>
      <right/>
      <top/>
      <bottom/>
      <diagonal/>
    </border>
    <border>
      <left style="thin">
        <color rgb="FFEFD2DE"/>
      </left>
      <right style="thin">
        <color rgb="FFEFD2DE"/>
      </right>
      <top style="thin">
        <color rgb="FFEFD2DE"/>
      </top>
      <bottom style="thin">
        <color rgb="FFEFD2DE"/>
      </bottom>
      <diagonal/>
    </border>
    <border>
      <left style="thin">
        <color rgb="FF742F4C"/>
      </left>
      <right style="thin">
        <color rgb="FF742F4C"/>
      </right>
      <top style="thin">
        <color rgb="FF742F4C"/>
      </top>
      <bottom style="thin">
        <color rgb="FF742F4C"/>
      </bottom>
      <diagonal/>
    </border>
    <border>
      <left style="thin">
        <color rgb="FFB8517C"/>
      </left>
      <right style="thin">
        <color rgb="FFB8517C"/>
      </right>
      <top style="thin">
        <color rgb="FFB8517C"/>
      </top>
      <bottom style="thin">
        <color rgb="FFB8517C"/>
      </bottom>
      <diagonal/>
    </border>
    <border>
      <left/>
      <right/>
      <top style="medium">
        <color rgb="FFB8517C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652942"/>
              </a:solidFill>
            </c:spPr>
          </c:dPt>
          <c:dPt>
            <c:idx val="1"/>
            <c:spPr>
              <a:solidFill>
                <a:srgbClr val="873D4A"/>
              </a:solidFill>
            </c:spPr>
          </c:dPt>
          <c:dPt>
            <c:idx val="2"/>
            <c:spPr>
              <a:solidFill>
                <a:srgbClr val="B14F48"/>
              </a:solidFill>
            </c:spPr>
          </c:dPt>
          <c:dPt>
            <c:idx val="3"/>
            <c:spPr>
              <a:solidFill>
                <a:srgbClr val="BE7090"/>
              </a:solidFill>
            </c:spPr>
          </c:dPt>
          <c:dPt>
            <c:idx val="4"/>
            <c:spPr>
              <a:solidFill>
                <a:srgbClr val="D2919C"/>
              </a:solidFill>
            </c:spPr>
          </c:dPt>
          <c:dPt>
            <c:idx val="5"/>
            <c:spPr>
              <a:solidFill>
                <a:srgbClr val="DFBBB9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'월요약'!$H$5:$H$10</c:f>
              <c:strCache>
                <c:ptCount val="6"/>
                <c:pt idx="0">
                  <c:v>간식</c:v>
                </c:pt>
                <c:pt idx="1">
                  <c:v>장난감</c:v>
                </c:pt>
                <c:pt idx="2">
                  <c:v>문구</c:v>
                </c:pt>
                <c:pt idx="3">
                  <c:v>저금</c:v>
                </c:pt>
                <c:pt idx="4">
                  <c:v>나눔·선물</c:v>
                </c:pt>
                <c:pt idx="5">
                  <c:v>기타</c:v>
                </c:pt>
              </c:strCache>
            </c:strRef>
          </c:cat>
          <c:val>
            <c:numRef>
              <c:f>'월요약'!$I$5:$I$10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742F4C"/>
                </a:solidFill>
                <a:latin typeface="맑은 고딕"/>
              </a:defRPr>
            </a:pPr>
            <a:r>
              <a:rPr lang="en-US" sz="1100" baseline="0">
                <a:solidFill>
                  <a:srgbClr val="742F4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들어온 돈</c:v>
          </c:tx>
          <c:spPr>
            <a:solidFill>
              <a:srgbClr val="3B9142"/>
            </a:solidFill>
            <a:ln>
              <a:solidFill>
                <a:srgbClr val="3B9142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solidFill>
              <a:srgbClr val="B8517C"/>
            </a:solidFill>
            <a:ln>
              <a:solidFill>
                <a:srgbClr val="B8517C"/>
              </a:solidFill>
            </a:ln>
          </c:spP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EFD2D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5000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1000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1400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800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5000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1400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800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1000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5000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800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1000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1400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5000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1000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1400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800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5000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1400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800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24</v>
      </c>
      <c r="D25" s="18"/>
      <c r="E25" s="18">
        <v>1000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5000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800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24</v>
      </c>
      <c r="D28" s="18"/>
      <c r="E28" s="18">
        <v>1000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25</v>
      </c>
      <c r="D29" s="18"/>
      <c r="E29" s="18">
        <v>1400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B8517C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30</v>
      </c>
      <c r="C1" s="20"/>
      <c r="D1" s="20"/>
      <c r="E1" s="20"/>
      <c r="F1" s="20"/>
      <c r="G1" s="20"/>
      <c r="H1" s="20"/>
      <c r="I1" s="20"/>
    </row>
    <row r="4" spans="2:9">
      <c r="B4" s="11" t="s">
        <v>31</v>
      </c>
      <c r="C4" s="11" t="s">
        <v>19</v>
      </c>
      <c r="D4" s="11" t="s">
        <v>20</v>
      </c>
      <c r="E4" s="11" t="s">
        <v>32</v>
      </c>
      <c r="H4" s="11" t="s">
        <v>18</v>
      </c>
      <c r="I4" s="11" t="s">
        <v>34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29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4" t="s">
        <v>33</v>
      </c>
      <c r="I11" s="25">
        <f>SUM(I5:I10)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33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9142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35</v>
      </c>
      <c r="C1" s="20"/>
    </row>
    <row r="3" spans="2:3" x14ac:dyDescent="0.25">
      <c r="B3" s="11" t="s">
        <v>36</v>
      </c>
      <c r="C3" s="27" t="s">
        <v>37</v>
      </c>
    </row>
    <row r="4" spans="2:3" x14ac:dyDescent="0.25">
      <c r="B4" s="11" t="s">
        <v>38</v>
      </c>
      <c r="C4" s="14">
        <v>30000</v>
      </c>
    </row>
    <row r="6" spans="2:3" x14ac:dyDescent="0.25">
      <c r="B6" s="28" t="s">
        <v>39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40</v>
      </c>
      <c r="C7" s="30">
        <f>IF(C4=0,0,C6/C4)</f>
        <v>0</v>
      </c>
    </row>
    <row r="8" spans="2:3" x14ac:dyDescent="0.25">
      <c r="B8" s="28" t="s">
        <v>41</v>
      </c>
      <c r="C8" s="29">
        <f>MAX(0,C4-C6)</f>
        <v>0</v>
      </c>
    </row>
    <row r="9" spans="2:3" x14ac:dyDescent="0.25">
      <c r="B9" s="28" t="s">
        <v>42</v>
      </c>
      <c r="C9" s="29">
        <f>IFERROR(AVERAGEIF('월요약'!$E$5:$E$16,"&lt;&gt;0"),0)</f>
        <v>0</v>
      </c>
    </row>
    <row r="10" spans="2:3" x14ac:dyDescent="0.25">
      <c r="B10" s="28" t="s">
        <v>43</v>
      </c>
      <c r="C10" s="31">
        <f>IF(C9&lt;=0,"-",IF(C8=0,"달성!",ROUNDUP(C8/C9,0)&amp;"개월"))</f>
        <v>0</v>
      </c>
    </row>
    <row r="12" spans="2:3" x14ac:dyDescent="0.25">
      <c r="B12" s="8" t="s">
        <v>44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B8517C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B8517C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유치원·초등 저학년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