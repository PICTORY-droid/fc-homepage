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'월요약'!$H$5:$H$12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<sst xmlns="http://schemas.openxmlformats.org/spreadsheetml/2006/main" count="93" uniqueCount="47">
  <si>
    <t>중학생 용돈기입장</t>
  </si>
  <si>
    <t>“올해 저금 목표 적어 보기”</t>
  </si>
  <si>
    <t>설날 세배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</si>
  <si>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</si>
  <si>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</si>
  <si>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</si>
  <si>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</si>
  <si>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</si>
  <si>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</si>
  <si>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</si>
  <si>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</si>
  <si>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</si>
  <si>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</si>
  <si>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</si>
  <si>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</si>
  <si>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</si>
  <si>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</si>
  <si>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</si>
  <si>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</si>
  <si>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</si>
  <si>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</si>
  <si>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</si>
  <si>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</si>
  <si>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</si>
  <si>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</si>
  <si>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문구·준비물</t>
  </si>
  <si>
    <t>취미·게임</t>
  </si>
  <si>
    <t>책</t>
  </si>
  <si>
    <t>친구·선물</t>
  </si>
  <si>
    <t>저금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</si>
  <si>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</si>
  <si>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</si>
  <si>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</si>
  <si>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</si>
  <si>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</si>
  <si>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</si>
  <si>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</si>
  <si>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</si>
  <si>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</si>
  <si>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새 운동화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</si>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</sst>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431920"/>
      <name val="맑은 고딕"/>
      <family val="2"/>
    </font>
    <font>
      <i/>
      <sz val="11"/>
      <color rgb="FF8D344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31920"/>
      <name val="맑은 고딕"/>
      <family val="2"/>
    </font>
    <font>
      <sz val="9"/>
      <color rgb="FF8D3443"/>
      <name val="맑은 고딕"/>
      <family val="2"/>
    </font>
    <font>
      <b/>
      <sz val="18"/>
      <color rgb="FF431920"/>
      <name val="맑은 고딕"/>
      <family val="2"/>
    </font>
    <font>
      <i/>
      <sz val="10"/>
      <color rgb="FF8D3443"/>
      <name val="맑은 고딕"/>
      <family val="2"/>
    </font>
    <font>
      <b/>
      <sz val="10"/>
      <color theme="1"/>
      <name val="맑은 고딕"/>
      <family val="2"/>
    </font>
    <font>
      <b/>
      <sz val="16"/>
      <color rgb="FF431920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8D3443"/>
        <bgColor indexed="64"/>
      </patternFill>
    </fill>
    <fill>
      <patternFill patternType="solid">
        <fgColor rgb="FFF0D1D6"/>
        <bgColor indexed="64"/>
      </patternFill>
    </fill>
    <fill>
      <patternFill patternType="solid">
        <fgColor rgb="FFF9F0F2"/>
        <bgColor indexed="64"/>
      </patternFill>
    </fill>
  </fills>
  <borders count="5">
    <border>
      <left/>
      <right/>
      <top/>
      <bottom/>
      <diagonal/>
    </border>
    <border>
      <left style="thin">
        <color rgb="FFF0D1D6"/>
      </left>
      <right style="thin">
        <color rgb="FFF0D1D6"/>
      </right>
      <top style="thin">
        <color rgb="FFF0D1D6"/>
      </top>
      <bottom style="thin">
        <color rgb="FFF0D1D6"/>
      </bottom>
      <diagonal/>
    </border>
    <border>
      <left style="thin">
        <color rgb="FF431920"/>
      </left>
      <right style="thin">
        <color rgb="FF431920"/>
      </right>
      <top style="thin">
        <color rgb="FF431920"/>
      </top>
      <bottom style="thin">
        <color rgb="FF431920"/>
      </bottom>
      <diagonal/>
    </border>
    <border>
      <left style="thin">
        <color rgb="FF8D3443"/>
      </left>
      <right style="thin">
        <color rgb="FF8D3443"/>
      </right>
      <top style="thin">
        <color rgb="FF8D3443"/>
      </top>
      <bottom style="thin">
        <color rgb="FF8D3443"/>
      </bottom>
      <diagonal/>
    </border>
    <border>
      <left/>
      <right/>
      <top style="medium">
        <color rgb="FF8D3443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31920"/>
                </a:solidFill>
                <a:latin typeface="맑은 고딕"/>
              </a:defRPr>
            </a:pPr>
            <a:r>
              <a:rPr lang="en-US" sz="1100" baseline="0">
                <a:solidFill>
                  <a:srgbClr val="431920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쓴 돈</c:v>
          </c:tx>
          <c:spPr>
            <a:solidFill>
              <a:srgbClr val="8D3443"/>
            </a:solidFill>
          </c:spPr>
          <c:cat>
            <c:strRef>
              <c:f>'월요약'!$H$5:$H$12</c:f>
              <c:strCache>
                <c:ptCount val="8"/>
                <c:pt idx="0">
                  <c:v>간식</c:v>
                </c:pt>
                <c:pt idx="1">
                  <c:v>교통</c:v>
                </c:pt>
                <c:pt idx="2">
                  <c:v>문구·준비물</c:v>
                </c:pt>
                <c:pt idx="3">
                  <c:v>취미·게임</c:v>
                </c:pt>
                <c:pt idx="4">
                  <c:v>책</c:v>
                </c:pt>
                <c:pt idx="5">
                  <c:v>친구·선물</c:v>
                </c:pt>
                <c:pt idx="6">
                  <c:v>저금</c:v>
                </c:pt>
                <c:pt idx="7">
                  <c:v>기타</c:v>
                </c:pt>
              </c:strCache>
            </c:strRef>
          </c:cat>
          <c:val>
            <c:numRef>
              <c:f>'월요약'!$I$5:$I$12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F0D1D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31920"/>
                </a:solidFill>
                <a:latin typeface="맑은 고딕"/>
              </a:defRPr>
            </a:pPr>
            <a:r>
              <a:rPr lang="en-US" sz="1100" baseline="0">
                <a:solidFill>
                  <a:srgbClr val="431920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3B9158"/>
            </a:solidFill>
            <a:ln>
              <a:solidFill>
                <a:srgbClr val="3B9158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8D3443"/>
            </a:solidFill>
            <a:ln>
              <a:solidFill>
                <a:srgbClr val="8D3443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0D1D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D3443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D3443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40000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8800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11200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6200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40000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11200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6200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8800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40000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6200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8800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11200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40000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8800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11200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6200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40000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11200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6200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8800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40000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6200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8800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31</v>
      </c>
      <c r="D29" s="18"/>
      <c r="E29" s="18">
        <v>11200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D3443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32</v>
      </c>
      <c r="C1" s="20"/>
      <c r="D1" s="20"/>
      <c r="E1" s="20"/>
      <c r="F1" s="20"/>
      <c r="G1" s="20"/>
      <c r="H1" s="20"/>
      <c r="I1" s="20"/>
    </row>
    <row r="4" spans="2:9">
      <c r="B4" s="11" t="s">
        <v>33</v>
      </c>
      <c r="C4" s="11" t="s">
        <v>19</v>
      </c>
      <c r="D4" s="11" t="s">
        <v>20</v>
      </c>
      <c r="E4" s="11" t="s">
        <v>34</v>
      </c>
      <c r="H4" s="11" t="s">
        <v>18</v>
      </c>
      <c r="I4" s="11" t="s">
        <v>36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31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3" t="s">
        <v>30</v>
      </c>
      <c r="I12" s="18">
        <f>SUMIFS('기입장'!$E$6:$E$305,'기입장'!$C$6:$C$305,H12)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  <c r="H13" s="24" t="s">
        <v>35</v>
      </c>
      <c r="I13" s="25">
        <f>SUM(I5:I12)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35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58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37</v>
      </c>
      <c r="C1" s="20"/>
    </row>
    <row r="3" spans="2:3" x14ac:dyDescent="0.25">
      <c r="B3" s="11" t="s">
        <v>38</v>
      </c>
      <c r="C3" s="27" t="s">
        <v>39</v>
      </c>
    </row>
    <row r="4" spans="2:3" x14ac:dyDescent="0.25">
      <c r="B4" s="11" t="s">
        <v>40</v>
      </c>
      <c r="C4" s="14">
        <v>240000</v>
      </c>
    </row>
    <row r="6" spans="2:3" x14ac:dyDescent="0.25">
      <c r="B6" s="28" t="s">
        <v>41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42</v>
      </c>
      <c r="C7" s="30">
        <f>IF(C4=0,0,C6/C4)</f>
        <v>0</v>
      </c>
    </row>
    <row r="8" spans="2:3" x14ac:dyDescent="0.25">
      <c r="B8" s="28" t="s">
        <v>43</v>
      </c>
      <c r="C8" s="29">
        <f>MAX(0,C4-C6)</f>
        <v>0</v>
      </c>
    </row>
    <row r="9" spans="2:3" x14ac:dyDescent="0.25">
      <c r="B9" s="28" t="s">
        <v>44</v>
      </c>
      <c r="C9" s="29">
        <f>IFERROR(AVERAGEIF('월요약'!$E$5:$E$16,"&lt;&gt;0"),0)</f>
        <v>0</v>
      </c>
    </row>
    <row r="10" spans="2:3" x14ac:dyDescent="0.25">
      <c r="B10" s="28" t="s">
        <v>45</v>
      </c>
      <c r="C10" s="31">
        <f>IF(C9&lt;=0,"-",IF(C8=0,"달성!",ROUNDUP(C8/C9,0)&amp;"개월"))</f>
        <v>0</v>
      </c>
    </row>
    <row r="12" spans="2:3" x14ac:dyDescent="0.25">
      <c r="B12" s="8" t="s">
        <v>46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8D3443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8D3443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중학생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2026-10-19T18:12:05Z</dcterms:created>
  <dcterms:modified xsi:type="dcterms:W3CDTF">2026-10-19T18:12:05Z</dcterms:modified>
</cp:coreProperties>
</file>