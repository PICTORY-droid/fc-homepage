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<sst xmlns="http://schemas.openxmlformats.org/spreadsheetml/2006/main" count="89" uniqueCount="44">
  <si>
    <t>유치원·초등 저학년 용돈기입장</t>
  </si>
  <si>
    <t>은행잎 편지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</si>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</sst>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8"/>
      <color rgb="FF756110"/>
      <name val="맑은 고딕"/>
      <family val="2"/>
    </font>
    <font>
      <i/>
      <sz val="10"/>
      <color rgb="FFCEAB1C"/>
      <name val="맑은 고딕"/>
      <family val="2"/>
    </font>
    <font>
      <b/>
      <sz val="10"/>
      <color theme="1"/>
      <name val="맑은 고딕"/>
      <family val="2"/>
    </font>
    <font>
      <b/>
      <sz val="16"/>
      <color rgb="FF75611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  <border>
      <left/>
      <right/>
      <top style="medium">
        <color rgb="FFCEAB1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E6811"/>
              </a:solidFill>
            </c:spPr>
          </c:dPt>
          <c:dPt>
            <c:idx val="1"/>
            <c:spPr>
              <a:solidFill>
                <a:srgbClr val="9FA51F"/>
              </a:solidFill>
            </c:spPr>
          </c:dPt>
          <c:dPt>
            <c:idx val="2"/>
            <c:spPr>
              <a:solidFill>
                <a:srgbClr val="A5DB1E"/>
              </a:solidFill>
            </c:spPr>
          </c:dPt>
          <c:dPt>
            <c:idx val="3"/>
            <c:spPr>
              <a:solidFill>
                <a:srgbClr val="DEC250"/>
              </a:solidFill>
            </c:spPr>
          </c:dPt>
          <c:dPt>
            <c:idx val="4"/>
            <c:spPr>
              <a:solidFill>
                <a:srgbClr val="E7EC77"/>
              </a:solidFill>
            </c:spPr>
          </c:dPt>
          <c:dPt>
            <c:idx val="5"/>
            <c:spPr>
              <a:solidFill>
                <a:srgbClr val="DBEFA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7791">
                <a:alpha val="80000"/>
              </a:srgbClr>
            </a:solidFill>
            <a:ln>
              <a:solidFill>
                <a:srgbClr val="3B77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CEAB1C">
                <a:alpha val="80000"/>
              </a:srgbClr>
            </a:solidFill>
            <a:ln>
              <a:solidFill>
                <a:srgbClr val="CEAB1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23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23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24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29</v>
      </c>
      <c r="C1" s="20"/>
      <c r="D1" s="20"/>
      <c r="E1" s="20"/>
      <c r="F1" s="20"/>
      <c r="G1" s="20"/>
      <c r="H1" s="20"/>
      <c r="I1" s="20"/>
    </row>
    <row r="4" spans="2:9">
      <c r="B4" s="11" t="s">
        <v>30</v>
      </c>
      <c r="C4" s="11" t="s">
        <v>18</v>
      </c>
      <c r="D4" s="11" t="s">
        <v>19</v>
      </c>
      <c r="E4" s="11" t="s">
        <v>31</v>
      </c>
      <c r="H4" s="11" t="s">
        <v>17</v>
      </c>
      <c r="I4" s="11" t="s">
        <v>33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28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32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32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7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34</v>
      </c>
      <c r="C1" s="20"/>
    </row>
    <row r="3" spans="2:3" x14ac:dyDescent="0.25">
      <c r="B3" s="11" t="s">
        <v>35</v>
      </c>
      <c r="C3" s="27" t="s">
        <v>36</v>
      </c>
    </row>
    <row r="4" spans="2:3" x14ac:dyDescent="0.25">
      <c r="B4" s="11" t="s">
        <v>37</v>
      </c>
      <c r="C4" s="14">
        <v>30000</v>
      </c>
    </row>
    <row r="6" spans="2:3" x14ac:dyDescent="0.25">
      <c r="B6" s="28" t="s">
        <v>38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39</v>
      </c>
      <c r="C7" s="30">
        <f>IF(C4=0,0,C6/C4)</f>
        <v>0</v>
      </c>
    </row>
    <row r="8" spans="2:3" x14ac:dyDescent="0.25">
      <c r="B8" s="28" t="s">
        <v>40</v>
      </c>
      <c r="C8" s="29">
        <f>MAX(0,C4-C6)</f>
        <v>0</v>
      </c>
    </row>
    <row r="9" spans="2:3" x14ac:dyDescent="0.25">
      <c r="B9" s="28" t="s">
        <v>41</v>
      </c>
      <c r="C9" s="29">
        <f>IFERROR(AVERAGEIF('월요약'!$E$5:$E$16,"&lt;&gt;0"),0)</f>
        <v>0</v>
      </c>
    </row>
    <row r="10" spans="2:3" x14ac:dyDescent="0.25">
      <c r="B10" s="28" t="s">
        <v>42</v>
      </c>
      <c r="C10" s="31">
        <f>IF(C9&lt;=0,"-",IF(C8=0,"달성!",ROUNDUP(C8/C9,0)&amp;"개월"))</f>
        <v>0</v>
      </c>
    </row>
    <row r="12" spans="2:3" x14ac:dyDescent="0.25">
      <c r="B12" s="8" t="s">
        <v>43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EAB1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EAB1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