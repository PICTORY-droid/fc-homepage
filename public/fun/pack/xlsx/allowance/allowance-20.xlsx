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시작하기" sheetId="1" r:id="rId1"/>
    <sheet name="기입장" sheetId="2" r:id="rId2"/>
    <sheet name="월요약" sheetId="3" r:id="rId3"/>
    <sheet name="저금목표" sheetId="4" r:id="rId4"/>
  </sheets>
  <definedNames>
    <definedName name="AllowCats">'월요약'!$H$5:$H$12</definedName>
    <definedName name="_xlnm.Print_Titles" localSheetId="1">기입장!$5:$5</definedName>
    <definedName name="StartBal">'기입장'!$B$3</definedName>
    <definedName name="Year">'기입장'!$B$2</definedName>
  </definedNames>
  <calcPr calcId="124519" fullCalcOnLoad="1"/>
</workbook>
</file>

<file path=xl/sharedStrings.xml><?xml version="1.0" encoding="utf-8"?>
<sst xmlns="http://schemas.openxmlformats.org/spreadsheetml/2006/main" count="93" uniqueCount="47">
  <si>
    <t>대학생·청년 용돈기입장</t>
  </si>
  <si>
    <t>“소나기 맞으며 산 우산 값도 적어요”</t>
  </si>
  <si>
    <t>소나기 그친 뒤 테마</t>
  </si>
  <si>
    <t>사용 순서</t>
  </si>
  <si>
    <t>1</t>
  </si>
  <si>
    <t>‘기입장’ 맨 위 파란 칸에 기준 연도와 처음 가진 돈(시작 잔액)을 적어요.</t>
  </si>
  <si>
    <t>2</t>
  </si>
  <si>
    <t>받은 용돈은 ‘들어온 돈’, 쓴 돈은 ‘나간 돈’에 적으면 ‘잔액’이 저절로 계산돼요.</t>
  </si>
  <si>
    <t>3</t>
  </si>
  <si>
    <t>‘월요약’에서 달마다 얼마를 받고 썼는지, 무엇에 많이 썼는지 그림으로 볼 수 있어요.</t>
  </si>
  <si>
    <t>4</t>
  </si>
  <si>
    <t>‘저금목표’에 갖고 싶은 것과 금액을 적으면 얼마나 모았는지 막대로 보여 줘요.</t>
  </si>
  <si>
    <t>처음 들어 있는 줄은 예시예요. 지우고 내 용돈으로 바꿔 쓰세요.</t>
  </si>
  <si>
    <t>우체국보험 상담 안내 · 자유롭게 고쳐 쓰세요</t>
  </si>
  <si>
    <t>기준 연도</t>
  </si>
  <si>
    <t>시작 잔액(원)</t>
  </si>
  <si>
    <t>날짜</t>
  </si>
  <si>
    <t>내용</t>
  </si>
  <si>
    <t>분류</t>
  </si>
  <si>
    <t>들어온 돈</t>
  </si>
  <si>
    <t>나간 돈</t>
  </si>
  <si>
    <t>잔액</t>
  </si>
  <si>
    <t>이번 달 용돈</t>
  </si>
  <si>
    <t>예시 지출</t>
  </si>
  <si>
    <t>교통</t>
  </si>
  <si>
    <t>교재·학습</t>
  </si>
  <si>
    <t>취미·여가</t>
  </si>
  <si>
    <t>모임·경조사</t>
  </si>
  <si>
    <t>통신·구독</t>
  </si>
  <si>
    <t>저금</t>
  </si>
  <si>
    <t>기타</t>
  </si>
  <si>
    <t>식비</t>
  </si>
  <si>
    <t>월 요약 (자동 계산)</t>
  </si>
  <si>
    <t>월</t>
  </si>
  <si>
    <t>남은 돈</t>
  </si>
  <si>
    <t>합계</t>
  </si>
  <si>
    <t>쓴 돈</t>
  </si>
  <si>
    <t>저금 목표 — 얼마나 모았을까요?</t>
  </si>
  <si>
    <t>갖고 싶은 것</t>
  </si>
  <si>
    <t>노트북·태블릿</t>
  </si>
  <si>
    <t>목표 금액(원)</t>
  </si>
  <si>
    <t>지금 모은 돈(저금 포함)</t>
  </si>
  <si>
    <t>모은 비율</t>
  </si>
  <si>
    <t>더 모아야 할 돈</t>
  </si>
  <si>
    <t>한 달 평균 남는 돈</t>
  </si>
  <si>
    <t>달성까지 예상 기간</t>
  </si>
  <si>
    <t>막대가 가득 차면 목표를 이룬 거예요. 잘 모으고 있어요, 계속 해 봐요!</t>
  </si>
</sst>
</file>

<file path=xl/styles.xml><?xml version="1.0" encoding="utf-8"?>
<styleSheet xmlns="http://schemas.openxmlformats.org/spreadsheetml/2006/main">
  <numFmts count="6">
    <numFmt numFmtId="164" formatCode="#,##0"/>
    <numFmt numFmtId="165" formatCode="yyyy-mm-dd"/>
    <numFmt numFmtId="166" formatCode="0&quot;월&quot;"/>
    <numFmt numFmtId="167" formatCode="#,##0;[Red]-#,##0"/>
    <numFmt numFmtId="168" formatCode="0%"/>
    <numFmt numFmtId="169" formatCode="@"/>
  </numFmts>
  <fonts count="13">
    <font>
      <sz val="11"/>
      <color theme="1"/>
      <name val="Calibri"/>
      <family val="2"/>
      <scheme val="minor"/>
    </font>
    <font>
      <b/>
      <sz val="22"/>
      <color rgb="FF23535C"/>
      <name val="맑은 고딕"/>
      <family val="2"/>
    </font>
    <font>
      <i/>
      <sz val="11"/>
      <color rgb="FF3F95A6"/>
      <name val="맑은 고딕"/>
      <family val="2"/>
    </font>
    <font>
      <sz val="9"/>
      <color rgb="FF777777"/>
      <name val="맑은 고딕"/>
      <family val="2"/>
    </font>
    <font>
      <b/>
      <sz val="10"/>
      <color rgb="FFFFFFFF"/>
      <name val="맑은 고딕"/>
      <family val="2"/>
    </font>
    <font>
      <sz val="10"/>
      <color theme="1"/>
      <name val="맑은 고딕"/>
      <family val="2"/>
    </font>
    <font>
      <b/>
      <sz val="10"/>
      <color rgb="FF23535C"/>
      <name val="맑은 고딕"/>
      <family val="2"/>
    </font>
    <font>
      <sz val="9"/>
      <color rgb="FF3F95A6"/>
      <name val="맑은 고딕"/>
      <family val="2"/>
    </font>
    <font>
      <b/>
      <sz val="18"/>
      <color rgb="FF23535C"/>
      <name val="맑은 고딕"/>
      <family val="2"/>
    </font>
    <font>
      <i/>
      <sz val="10"/>
      <color rgb="FF3F95A6"/>
      <name val="맑은 고딕"/>
      <family val="2"/>
    </font>
    <font>
      <b/>
      <sz val="10"/>
      <color theme="1"/>
      <name val="맑은 고딕"/>
      <family val="2"/>
    </font>
    <font>
      <b/>
      <sz val="16"/>
      <color rgb="FF23535C"/>
      <name val="맑은 고딕"/>
      <family val="2"/>
    </font>
    <font>
      <sz val="10"/>
      <color theme="1"/>
      <name val="맑은 고딕"/>
      <family val="2"/>
    </font>
  </fonts>
  <fills count="5">
    <fill>
      <patternFill patternType="none"/>
    </fill>
    <fill>
      <patternFill patternType="gray125"/>
    </fill>
    <fill>
      <patternFill patternType="solid">
        <fgColor rgb="FF3F95A6"/>
        <bgColor indexed="64"/>
      </patternFill>
    </fill>
    <fill>
      <patternFill patternType="solid">
        <fgColor rgb="FFD1EBF0"/>
        <bgColor indexed="64"/>
      </patternFill>
    </fill>
    <fill>
      <patternFill patternType="solid">
        <fgColor rgb="FFF0F8F9"/>
        <bgColor indexed="64"/>
      </patternFill>
    </fill>
  </fills>
  <borders count="5">
    <border>
      <left/>
      <right/>
      <top/>
      <bottom/>
      <diagonal/>
    </border>
    <border>
      <left style="thin">
        <color rgb="FFD1EBF0"/>
      </left>
      <right style="thin">
        <color rgb="FFD1EBF0"/>
      </right>
      <top style="thin">
        <color rgb="FFD1EBF0"/>
      </top>
      <bottom style="thin">
        <color rgb="FFD1EBF0"/>
      </bottom>
      <diagonal/>
    </border>
    <border>
      <left style="thin">
        <color rgb="FF23535C"/>
      </left>
      <right style="thin">
        <color rgb="FF23535C"/>
      </right>
      <top style="thin">
        <color rgb="FF23535C"/>
      </top>
      <bottom style="thin">
        <color rgb="FF23535C"/>
      </bottom>
      <diagonal/>
    </border>
    <border>
      <left style="thin">
        <color rgb="FF3F95A6"/>
      </left>
      <right style="thin">
        <color rgb="FF3F95A6"/>
      </right>
      <top style="thin">
        <color rgb="FF3F95A6"/>
      </top>
      <bottom style="thin">
        <color rgb="FF3F95A6"/>
      </bottom>
      <diagonal/>
    </border>
    <border>
      <left/>
      <right/>
      <top style="medium">
        <color rgb="FF3F95A6"/>
      </top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vertical="center"/>
    </xf>
    <xf numFmtId="0" fontId="6" fillId="3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vertical="center" wrapText="1"/>
    </xf>
    <xf numFmtId="0" fontId="3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4" fillId="2" borderId="2" xfId="0" applyFont="1" applyFill="1" applyBorder="1" applyAlignment="1">
      <alignment horizontal="center" vertical="center" wrapText="1"/>
    </xf>
    <xf numFmtId="1" fontId="5" fillId="4" borderId="3" xfId="0" applyNumberFormat="1" applyFont="1" applyFill="1" applyBorder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164" fontId="5" fillId="4" borderId="3" xfId="0" applyNumberFormat="1" applyFont="1" applyFill="1" applyBorder="1" applyAlignment="1">
      <alignment vertical="center"/>
    </xf>
    <xf numFmtId="165" fontId="5" fillId="0" borderId="1" xfId="0" applyNumberFormat="1" applyFont="1" applyBorder="1" applyAlignment="1">
      <alignment horizontal="center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4" fontId="5" fillId="0" borderId="1" xfId="0" applyNumberFormat="1" applyFont="1" applyBorder="1" applyAlignment="1">
      <alignment vertical="center"/>
    </xf>
    <xf numFmtId="164" fontId="10" fillId="0" borderId="1" xfId="0" applyNumberFormat="1" applyFont="1" applyBorder="1" applyAlignment="1">
      <alignment vertical="center"/>
    </xf>
    <xf numFmtId="0" fontId="11" fillId="0" borderId="0" xfId="0" applyFont="1" applyAlignment="1">
      <alignment vertical="center"/>
    </xf>
    <xf numFmtId="166" fontId="5" fillId="0" borderId="1" xfId="0" applyNumberFormat="1" applyFont="1" applyBorder="1" applyAlignment="1">
      <alignment horizontal="center" vertical="center"/>
    </xf>
    <xf numFmtId="167" fontId="5" fillId="0" borderId="1" xfId="0" applyNumberFormat="1" applyFont="1" applyBorder="1" applyAlignment="1">
      <alignment vertical="center"/>
    </xf>
    <xf numFmtId="0" fontId="5" fillId="4" borderId="3" xfId="0" applyFont="1" applyFill="1" applyBorder="1" applyAlignment="1">
      <alignment vertical="center"/>
    </xf>
    <xf numFmtId="0" fontId="10" fillId="3" borderId="4" xfId="0" applyFont="1" applyFill="1" applyBorder="1" applyAlignment="1">
      <alignment vertical="center"/>
    </xf>
    <xf numFmtId="164" fontId="10" fillId="3" borderId="4" xfId="0" applyNumberFormat="1" applyFont="1" applyFill="1" applyBorder="1" applyAlignment="1">
      <alignment vertical="center"/>
    </xf>
    <xf numFmtId="167" fontId="10" fillId="3" borderId="4" xfId="0" applyNumberFormat="1" applyFont="1" applyFill="1" applyBorder="1" applyAlignment="1">
      <alignment vertical="center"/>
    </xf>
    <xf numFmtId="0" fontId="5" fillId="4" borderId="3" xfId="0" applyFont="1" applyFill="1" applyBorder="1" applyAlignment="1">
      <alignment horizontal="center" vertical="center"/>
    </xf>
    <xf numFmtId="0" fontId="10" fillId="3" borderId="1" xfId="0" applyFont="1" applyFill="1" applyBorder="1" applyAlignment="1">
      <alignment vertical="center"/>
    </xf>
    <xf numFmtId="164" fontId="12" fillId="0" borderId="1" xfId="0" applyNumberFormat="1" applyFont="1" applyBorder="1" applyAlignment="1">
      <alignment horizontal="center" vertical="center"/>
    </xf>
    <xf numFmtId="168" fontId="10" fillId="0" borderId="1" xfId="0" applyNumberFormat="1" applyFont="1" applyBorder="1" applyAlignment="1">
      <alignment horizontal="center" vertical="center"/>
    </xf>
    <xf numFmtId="169" fontId="1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1">
    <dxf>
      <font>
        <b/>
        <color rgb="FFC00000"/>
      </font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무엇에 썼을까요?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분류별 쓴 돈</c:v>
          </c:tx>
          <c:dPt>
            <c:idx val="0"/>
            <c:spPr>
              <a:solidFill>
                <a:srgbClr val="275D68"/>
              </a:solidFill>
            </c:spPr>
          </c:dPt>
          <c:dPt>
            <c:idx val="1"/>
            <c:spPr>
              <a:solidFill>
                <a:srgbClr val="36617F"/>
              </a:solidFill>
            </c:spPr>
          </c:dPt>
          <c:dPt>
            <c:idx val="2"/>
            <c:spPr>
              <a:solidFill>
                <a:srgbClr val="3C5F9E"/>
              </a:solidFill>
            </c:spPr>
          </c:dPt>
          <c:dPt>
            <c:idx val="3"/>
            <c:spPr>
              <a:solidFill>
                <a:srgbClr val="4DA3B4"/>
              </a:solidFill>
            </c:spPr>
          </c:dPt>
          <c:dPt>
            <c:idx val="4"/>
            <c:spPr>
              <a:solidFill>
                <a:srgbClr val="639CC4"/>
              </a:solidFill>
            </c:spPr>
          </c:dPt>
          <c:dPt>
            <c:idx val="5"/>
            <c:spPr>
              <a:solidFill>
                <a:srgbClr val="829CCA"/>
              </a:solidFill>
            </c:spPr>
          </c:dPt>
          <c:dPt>
            <c:idx val="6"/>
            <c:spPr>
              <a:solidFill>
                <a:srgbClr val="9ACED9"/>
              </a:solidFill>
            </c:spPr>
          </c:dPt>
          <c:dPt>
            <c:idx val="7"/>
            <c:spPr>
              <a:solidFill>
                <a:srgbClr val="B7D0E1"/>
              </a:solidFill>
            </c:spPr>
          </c:dPt>
          <c:dLbls>
            <c:txPr>
              <a:bodyPr/>
              <a:lstStyle/>
              <a:p>
                <a:pPr>
                  <a:defRPr sz="800" baseline="0">
                    <a:latin typeface="맑은 고딕"/>
                  </a:defRPr>
                </a:pPr>
                <a:endParaRPr lang="en-US"/>
              </a:p>
            </c:txPr>
            <c:showPercent val="1"/>
          </c:dLbls>
          <c:cat>
            <c:strRef>
              <c:f>'월요약'!$H$5:$H$12</c:f>
              <c:strCache>
                <c:ptCount val="8"/>
                <c:pt idx="0">
                  <c:v>식비</c:v>
                </c:pt>
                <c:pt idx="1">
                  <c:v>교통</c:v>
                </c:pt>
                <c:pt idx="2">
                  <c:v>교재·학습</c:v>
                </c:pt>
                <c:pt idx="3">
                  <c:v>취미·여가</c:v>
                </c:pt>
                <c:pt idx="4">
                  <c:v>모임·경조사</c:v>
                </c:pt>
                <c:pt idx="5">
                  <c:v>통신·구독</c:v>
                </c:pt>
                <c:pt idx="6">
                  <c:v>저금</c:v>
                </c:pt>
                <c:pt idx="7">
                  <c:v>기타</c:v>
                </c:pt>
              </c:strCache>
            </c:strRef>
          </c:cat>
          <c:val>
            <c:numRef>
              <c:f>'월요약'!$I$5:$I$12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100" baseline="0">
                <a:solidFill>
                  <a:srgbClr val="23535C"/>
                </a:solidFill>
                <a:latin typeface="맑은 고딕"/>
              </a:defRPr>
            </a:pPr>
            <a:r>
              <a:rPr lang="en-US" sz="1100" baseline="0">
                <a:solidFill>
                  <a:srgbClr val="23535C"/>
                </a:solidFill>
                <a:latin typeface="맑은 고딕"/>
              </a:rPr>
              <a:t>달마다 받고 쓴 돈</a:t>
            </a:r>
          </a:p>
        </c:rich>
      </c:tx>
      <c:layout/>
    </c:title>
    <c:plotArea>
      <c:layout/>
      <c:lineChart>
        <c:grouping val="standard"/>
        <c:ser>
          <c:idx val="0"/>
          <c:order val="0"/>
          <c:tx>
            <c:v>들어온 돈</c:v>
          </c:tx>
          <c:spPr>
            <a:ln w="28575">
              <a:solidFill>
                <a:srgbClr val="913B58"/>
              </a:solidFill>
            </a:ln>
          </c:spPr>
          <c:marker>
            <c:symbol val="circle"/>
            <c:size val="6"/>
            <c:spPr>
              <a:solidFill>
                <a:srgbClr val="913B58"/>
              </a:solidFill>
              <a:ln>
                <a:solidFill>
                  <a:srgbClr val="913B58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'월요약'!$C$5:$C$16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ser>
          <c:idx val="1"/>
          <c:order val="1"/>
          <c:tx>
            <c:v>나간 돈</c:v>
          </c:tx>
          <c:spPr>
            <a:ln w="28575">
              <a:solidFill>
                <a:srgbClr val="3F95A6"/>
              </a:solidFill>
            </a:ln>
          </c:spPr>
          <c:marker>
            <c:symbol val="circle"/>
            <c:size val="6"/>
            <c:spPr>
              <a:solidFill>
                <a:srgbClr val="3F95A6"/>
              </a:solidFill>
              <a:ln>
                <a:solidFill>
                  <a:srgbClr val="3F95A6"/>
                </a:solidFill>
              </a:ln>
            </c:spPr>
          </c:marker>
          <c:cat>
            <c:numRef>
              <c:f>'월요약'!$B$5:$B$16</c:f>
              <c:numCache>
                <c:formatCode>General</c:formatCode>
                <c:ptCount val="1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</c:numCache>
            </c:numRef>
          </c:cat>
          <c:val>
            <c:numRef>
              <c:f>'월요약'!$D$5:$D$16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</c:ser>
        <c:marker val="1"/>
        <c:axId val="50020001"/>
        <c:axId val="50020002"/>
      </c:lineChart>
      <c:catAx>
        <c:axId val="50020001"/>
        <c:scaling>
          <c:orientation val="minMax"/>
        </c:scaling>
        <c:axPos val="b"/>
        <c:numFmt formatCode="0&quot;월&quot;" sourceLinked="0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>
          <c:spPr>
            <a:ln>
              <a:solidFill>
                <a:srgbClr val="E5E5E5"/>
              </a:solidFill>
            </a:ln>
          </c:spPr>
        </c:majorGridlines>
        <c:numFmt formatCode="#,##0" sourceLinked="0"/>
        <c:tickLblPos val="nextTo"/>
        <c:crossAx val="50020001"/>
        <c:crosses val="autoZero"/>
        <c:crossBetween val="between"/>
      </c:valAx>
    </c:plotArea>
    <c:legend>
      <c:legendPos val="b"/>
      <c:layout/>
      <c:txPr>
        <a:bodyPr/>
        <a:lstStyle/>
        <a:p>
          <a:pPr>
            <a:defRPr sz="900" baseline="0">
              <a:latin typeface="맑은 고딕"/>
            </a:defRPr>
          </a:pPr>
          <a:endParaRPr lang="en-US"/>
        </a:p>
      </c:txPr>
    </c:legend>
    <c:plotVisOnly val="1"/>
  </c:chart>
  <c:spPr>
    <a:ln>
      <a:solidFill>
        <a:srgbClr val="D1EBF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18</xdr:row>
      <xdr:rowOff>0</xdr:rowOff>
    </xdr:from>
    <xdr:to>
      <xdr:col>6</xdr:col>
      <xdr:colOff>209550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0</xdr:colOff>
      <xdr:row>18</xdr:row>
      <xdr:rowOff>0</xdr:rowOff>
    </xdr:from>
    <xdr:to>
      <xdr:col>13</xdr:col>
      <xdr:colOff>171450</xdr:colOff>
      <xdr:row>33</xdr:row>
      <xdr:rowOff>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2:C14"/>
  <sheetViews>
    <sheetView showGridLines="0" tabSelected="1" workbookViewId="0"/>
  </sheetViews>
  <sheetFormatPr defaultRowHeight="15"/>
  <cols>
    <col min="1" max="1" width="3.7109375" customWidth="1"/>
    <col min="2" max="2" width="16.7109375" customWidth="1"/>
    <col min="3" max="3" width="62.7109375" customWidth="1"/>
  </cols>
  <sheetData>
    <row r="2" spans="2:3" ht="30" customHeight="1">
      <c r="B2" s="1" t="s">
        <v>0</v>
      </c>
      <c r="C2" s="1"/>
    </row>
    <row r="3" spans="2:3">
      <c r="B3" s="2" t="s">
        <v>1</v>
      </c>
      <c r="C3" s="2"/>
    </row>
    <row r="4" spans="2:3">
      <c r="B4" s="3" t="s">
        <v>2</v>
      </c>
      <c r="C4" s="3"/>
    </row>
    <row r="5" spans="2:3" ht="6" customHeight="1"/>
    <row r="6" spans="2:3">
      <c r="B6" s="4" t="s">
        <v>3</v>
      </c>
      <c r="C6" s="5"/>
    </row>
    <row r="7" spans="2:3" ht="22" customHeight="1">
      <c r="B7" s="6" t="s">
        <v>4</v>
      </c>
      <c r="C7" s="7" t="s">
        <v>5</v>
      </c>
    </row>
    <row r="8" spans="2:3" ht="32" customHeight="1">
      <c r="B8" s="6" t="s">
        <v>6</v>
      </c>
      <c r="C8" s="7" t="s">
        <v>7</v>
      </c>
    </row>
    <row r="9" spans="2:3" ht="32" customHeight="1">
      <c r="B9" s="6" t="s">
        <v>8</v>
      </c>
      <c r="C9" s="7" t="s">
        <v>9</v>
      </c>
    </row>
    <row r="10" spans="2:3" ht="22" customHeight="1">
      <c r="B10" s="6" t="s">
        <v>10</v>
      </c>
      <c r="C10" s="7" t="s">
        <v>11</v>
      </c>
    </row>
    <row r="12" spans="2:3" ht="28" customHeight="1">
      <c r="B12" s="8" t="s">
        <v>12</v>
      </c>
      <c r="C12" s="8"/>
    </row>
    <row r="14" spans="2:3">
      <c r="B14" s="9" t="s">
        <v>13</v>
      </c>
      <c r="C14" s="9"/>
    </row>
  </sheetData>
  <mergeCells count="5">
    <mergeCell ref="B2:C2"/>
    <mergeCell ref="B3:C3"/>
    <mergeCell ref="B4:C4"/>
    <mergeCell ref="B12:C12"/>
    <mergeCell ref="B14:C14"/>
  </mergeCells>
  <pageMargins left="0.7" right="0.7" top="0.75" bottom="0.75" header="0.3" footer="0.3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A1:F305"/>
  <sheetViews>
    <sheetView workbookViewId="0">
      <pane ySplit="5" topLeftCell="A6" activePane="bottomLeft" state="frozen"/>
      <selection pane="bottomLeft"/>
    </sheetView>
  </sheetViews>
  <sheetFormatPr defaultRowHeight="15"/>
  <cols>
    <col min="1" max="1" width="12.7109375" customWidth="1"/>
    <col min="2" max="2" width="28.7109375" customWidth="1"/>
    <col min="3" max="6" width="14.7109375" customWidth="1"/>
  </cols>
  <sheetData>
    <row r="1" spans="1:6">
      <c r="A1" s="10" t="s">
        <v>0</v>
      </c>
      <c r="B1" s="10"/>
      <c r="C1" s="10"/>
      <c r="D1" s="10"/>
      <c r="E1" s="10"/>
      <c r="F1" s="10"/>
    </row>
    <row r="2" spans="1:6">
      <c r="A2" s="11" t="s">
        <v>14</v>
      </c>
      <c r="B2" s="12">
        <v>2026</v>
      </c>
      <c r="C2" s="13" t="s">
        <v>1</v>
      </c>
      <c r="D2" s="13"/>
      <c r="E2" s="13"/>
      <c r="F2" s="13"/>
    </row>
    <row r="3" spans="1:6">
      <c r="A3" s="11" t="s">
        <v>15</v>
      </c>
      <c r="B3" s="14">
        <v>0</v>
      </c>
      <c r="C3" s="13"/>
      <c r="D3" s="13"/>
      <c r="E3" s="13"/>
      <c r="F3" s="13"/>
    </row>
    <row r="5" spans="1:6">
      <c r="A5" s="11" t="s">
        <v>16</v>
      </c>
      <c r="B5" s="11" t="s">
        <v>17</v>
      </c>
      <c r="C5" s="11" t="s">
        <v>18</v>
      </c>
      <c r="D5" s="11" t="s">
        <v>19</v>
      </c>
      <c r="E5" s="11" t="s">
        <v>20</v>
      </c>
      <c r="F5" s="11" t="s">
        <v>21</v>
      </c>
    </row>
    <row r="6" spans="1:6">
      <c r="A6" s="15">
        <v>46023</v>
      </c>
      <c r="B6" s="16" t="s">
        <v>22</v>
      </c>
      <c r="C6" s="17"/>
      <c r="D6" s="18">
        <v>300000</v>
      </c>
      <c r="E6" s="18"/>
      <c r="F6" s="19">
        <f>IF(AND(D6="",E6=""),"",StartBal+SUM($D$6:D6)-SUM($E$6:E6))</f>
        <v>0</v>
      </c>
    </row>
    <row r="7" spans="1:6">
      <c r="A7" s="15">
        <v>46027</v>
      </c>
      <c r="B7" s="16" t="s">
        <v>23</v>
      </c>
      <c r="C7" s="17" t="s">
        <v>24</v>
      </c>
      <c r="D7" s="18"/>
      <c r="E7" s="18">
        <v>70000</v>
      </c>
      <c r="F7" s="19">
        <f>IF(AND(D7="",E7=""),"",StartBal+SUM($D$6:D7)-SUM($E$6:E7))</f>
        <v>0</v>
      </c>
    </row>
    <row r="8" spans="1:6">
      <c r="A8" s="15">
        <v>46034</v>
      </c>
      <c r="B8" s="16" t="s">
        <v>23</v>
      </c>
      <c r="C8" s="17" t="s">
        <v>25</v>
      </c>
      <c r="D8" s="18"/>
      <c r="E8" s="18">
        <v>90000</v>
      </c>
      <c r="F8" s="19">
        <f>IF(AND(D8="",E8=""),"",StartBal+SUM($D$6:D8)-SUM($E$6:E8))</f>
        <v>0</v>
      </c>
    </row>
    <row r="9" spans="1:6">
      <c r="A9" s="15">
        <v>46041</v>
      </c>
      <c r="B9" s="16" t="s">
        <v>23</v>
      </c>
      <c r="C9" s="17" t="s">
        <v>26</v>
      </c>
      <c r="D9" s="18"/>
      <c r="E9" s="18">
        <v>50000</v>
      </c>
      <c r="F9" s="19">
        <f>IF(AND(D9="",E9=""),"",StartBal+SUM($D$6:D9)-SUM($E$6:E9))</f>
        <v>0</v>
      </c>
    </row>
    <row r="10" spans="1:6">
      <c r="A10" s="15">
        <v>46054</v>
      </c>
      <c r="B10" s="16" t="s">
        <v>22</v>
      </c>
      <c r="C10" s="17"/>
      <c r="D10" s="18">
        <v>300000</v>
      </c>
      <c r="E10" s="18"/>
      <c r="F10" s="19">
        <f>IF(AND(D10="",E10=""),"",StartBal+SUM($D$6:D10)-SUM($E$6:E10))</f>
        <v>0</v>
      </c>
    </row>
    <row r="11" spans="1:6">
      <c r="A11" s="15">
        <v>46058</v>
      </c>
      <c r="B11" s="16" t="s">
        <v>23</v>
      </c>
      <c r="C11" s="17" t="s">
        <v>25</v>
      </c>
      <c r="D11" s="18"/>
      <c r="E11" s="18">
        <v>90000</v>
      </c>
      <c r="F11" s="19">
        <f>IF(AND(D11="",E11=""),"",StartBal+SUM($D$6:D11)-SUM($E$6:E11))</f>
        <v>0</v>
      </c>
    </row>
    <row r="12" spans="1:6">
      <c r="A12" s="15">
        <v>46065</v>
      </c>
      <c r="B12" s="16" t="s">
        <v>23</v>
      </c>
      <c r="C12" s="17" t="s">
        <v>26</v>
      </c>
      <c r="D12" s="18"/>
      <c r="E12" s="18">
        <v>50000</v>
      </c>
      <c r="F12" s="19">
        <f>IF(AND(D12="",E12=""),"",StartBal+SUM($D$6:D12)-SUM($E$6:E12))</f>
        <v>0</v>
      </c>
    </row>
    <row r="13" spans="1:6">
      <c r="A13" s="15">
        <v>46072</v>
      </c>
      <c r="B13" s="16" t="s">
        <v>23</v>
      </c>
      <c r="C13" s="17" t="s">
        <v>27</v>
      </c>
      <c r="D13" s="18"/>
      <c r="E13" s="18">
        <v>70000</v>
      </c>
      <c r="F13" s="19">
        <f>IF(AND(D13="",E13=""),"",StartBal+SUM($D$6:D13)-SUM($E$6:E13))</f>
        <v>0</v>
      </c>
    </row>
    <row r="14" spans="1:6">
      <c r="A14" s="15">
        <v>46082</v>
      </c>
      <c r="B14" s="16" t="s">
        <v>22</v>
      </c>
      <c r="C14" s="17"/>
      <c r="D14" s="18">
        <v>300000</v>
      </c>
      <c r="E14" s="18"/>
      <c r="F14" s="19">
        <f>IF(AND(D14="",E14=""),"",StartBal+SUM($D$6:D14)-SUM($E$6:E14))</f>
        <v>0</v>
      </c>
    </row>
    <row r="15" spans="1:6">
      <c r="A15" s="15">
        <v>46086</v>
      </c>
      <c r="B15" s="16" t="s">
        <v>23</v>
      </c>
      <c r="C15" s="17" t="s">
        <v>26</v>
      </c>
      <c r="D15" s="18"/>
      <c r="E15" s="18">
        <v>50000</v>
      </c>
      <c r="F15" s="19">
        <f>IF(AND(D15="",E15=""),"",StartBal+SUM($D$6:D15)-SUM($E$6:E15))</f>
        <v>0</v>
      </c>
    </row>
    <row r="16" spans="1:6">
      <c r="A16" s="15">
        <v>46093</v>
      </c>
      <c r="B16" s="16" t="s">
        <v>23</v>
      </c>
      <c r="C16" s="17" t="s">
        <v>27</v>
      </c>
      <c r="D16" s="18"/>
      <c r="E16" s="18">
        <v>70000</v>
      </c>
      <c r="F16" s="19">
        <f>IF(AND(D16="",E16=""),"",StartBal+SUM($D$6:D16)-SUM($E$6:E16))</f>
        <v>0</v>
      </c>
    </row>
    <row r="17" spans="1:6">
      <c r="A17" s="15">
        <v>46100</v>
      </c>
      <c r="B17" s="16" t="s">
        <v>23</v>
      </c>
      <c r="C17" s="17" t="s">
        <v>28</v>
      </c>
      <c r="D17" s="18"/>
      <c r="E17" s="18">
        <v>90000</v>
      </c>
      <c r="F17" s="19">
        <f>IF(AND(D17="",E17=""),"",StartBal+SUM($D$6:D17)-SUM($E$6:E17))</f>
        <v>0</v>
      </c>
    </row>
    <row r="18" spans="1:6">
      <c r="A18" s="15">
        <v>46113</v>
      </c>
      <c r="B18" s="16" t="s">
        <v>22</v>
      </c>
      <c r="C18" s="17"/>
      <c r="D18" s="18">
        <v>300000</v>
      </c>
      <c r="E18" s="18"/>
      <c r="F18" s="19">
        <f>IF(AND(D18="",E18=""),"",StartBal+SUM($D$6:D18)-SUM($E$6:E18))</f>
        <v>0</v>
      </c>
    </row>
    <row r="19" spans="1:6">
      <c r="A19" s="15">
        <v>46117</v>
      </c>
      <c r="B19" s="16" t="s">
        <v>23</v>
      </c>
      <c r="C19" s="17" t="s">
        <v>27</v>
      </c>
      <c r="D19" s="18"/>
      <c r="E19" s="18">
        <v>70000</v>
      </c>
      <c r="F19" s="19">
        <f>IF(AND(D19="",E19=""),"",StartBal+SUM($D$6:D19)-SUM($E$6:E19))</f>
        <v>0</v>
      </c>
    </row>
    <row r="20" spans="1:6">
      <c r="A20" s="15">
        <v>46124</v>
      </c>
      <c r="B20" s="16" t="s">
        <v>23</v>
      </c>
      <c r="C20" s="17" t="s">
        <v>28</v>
      </c>
      <c r="D20" s="18"/>
      <c r="E20" s="18">
        <v>90000</v>
      </c>
      <c r="F20" s="19">
        <f>IF(AND(D20="",E20=""),"",StartBal+SUM($D$6:D20)-SUM($E$6:E20))</f>
        <v>0</v>
      </c>
    </row>
    <row r="21" spans="1:6">
      <c r="A21" s="15">
        <v>46131</v>
      </c>
      <c r="B21" s="16" t="s">
        <v>23</v>
      </c>
      <c r="C21" s="17" t="s">
        <v>29</v>
      </c>
      <c r="D21" s="18"/>
      <c r="E21" s="18">
        <v>50000</v>
      </c>
      <c r="F21" s="19">
        <f>IF(AND(D21="",E21=""),"",StartBal+SUM($D$6:D21)-SUM($E$6:E21))</f>
        <v>0</v>
      </c>
    </row>
    <row r="22" spans="1:6">
      <c r="A22" s="15">
        <v>46143</v>
      </c>
      <c r="B22" s="16" t="s">
        <v>22</v>
      </c>
      <c r="C22" s="17"/>
      <c r="D22" s="18">
        <v>300000</v>
      </c>
      <c r="E22" s="18"/>
      <c r="F22" s="19">
        <f>IF(AND(D22="",E22=""),"",StartBal+SUM($D$6:D22)-SUM($E$6:E22))</f>
        <v>0</v>
      </c>
    </row>
    <row r="23" spans="1:6">
      <c r="A23" s="15">
        <v>46147</v>
      </c>
      <c r="B23" s="16" t="s">
        <v>23</v>
      </c>
      <c r="C23" s="17" t="s">
        <v>28</v>
      </c>
      <c r="D23" s="18"/>
      <c r="E23" s="18">
        <v>90000</v>
      </c>
      <c r="F23" s="19">
        <f>IF(AND(D23="",E23=""),"",StartBal+SUM($D$6:D23)-SUM($E$6:E23))</f>
        <v>0</v>
      </c>
    </row>
    <row r="24" spans="1:6">
      <c r="A24" s="15">
        <v>46154</v>
      </c>
      <c r="B24" s="16" t="s">
        <v>23</v>
      </c>
      <c r="C24" s="17" t="s">
        <v>29</v>
      </c>
      <c r="D24" s="18"/>
      <c r="E24" s="18">
        <v>50000</v>
      </c>
      <c r="F24" s="19">
        <f>IF(AND(D24="",E24=""),"",StartBal+SUM($D$6:D24)-SUM($E$6:E24))</f>
        <v>0</v>
      </c>
    </row>
    <row r="25" spans="1:6">
      <c r="A25" s="15">
        <v>46161</v>
      </c>
      <c r="B25" s="16" t="s">
        <v>23</v>
      </c>
      <c r="C25" s="17" t="s">
        <v>30</v>
      </c>
      <c r="D25" s="18"/>
      <c r="E25" s="18">
        <v>70000</v>
      </c>
      <c r="F25" s="19">
        <f>IF(AND(D25="",E25=""),"",StartBal+SUM($D$6:D25)-SUM($E$6:E25))</f>
        <v>0</v>
      </c>
    </row>
    <row r="26" spans="1:6">
      <c r="A26" s="15">
        <v>46174</v>
      </c>
      <c r="B26" s="16" t="s">
        <v>22</v>
      </c>
      <c r="C26" s="17"/>
      <c r="D26" s="18">
        <v>300000</v>
      </c>
      <c r="E26" s="18"/>
      <c r="F26" s="19">
        <f>IF(AND(D26="",E26=""),"",StartBal+SUM($D$6:D26)-SUM($E$6:E26))</f>
        <v>0</v>
      </c>
    </row>
    <row r="27" spans="1:6">
      <c r="A27" s="15">
        <v>46178</v>
      </c>
      <c r="B27" s="16" t="s">
        <v>23</v>
      </c>
      <c r="C27" s="17" t="s">
        <v>29</v>
      </c>
      <c r="D27" s="18"/>
      <c r="E27" s="18">
        <v>50000</v>
      </c>
      <c r="F27" s="19">
        <f>IF(AND(D27="",E27=""),"",StartBal+SUM($D$6:D27)-SUM($E$6:E27))</f>
        <v>0</v>
      </c>
    </row>
    <row r="28" spans="1:6">
      <c r="A28" s="15">
        <v>46185</v>
      </c>
      <c r="B28" s="16" t="s">
        <v>23</v>
      </c>
      <c r="C28" s="17" t="s">
        <v>30</v>
      </c>
      <c r="D28" s="18"/>
      <c r="E28" s="18">
        <v>70000</v>
      </c>
      <c r="F28" s="19">
        <f>IF(AND(D28="",E28=""),"",StartBal+SUM($D$6:D28)-SUM($E$6:E28))</f>
        <v>0</v>
      </c>
    </row>
    <row r="29" spans="1:6">
      <c r="A29" s="15">
        <v>46192</v>
      </c>
      <c r="B29" s="16" t="s">
        <v>23</v>
      </c>
      <c r="C29" s="17" t="s">
        <v>31</v>
      </c>
      <c r="D29" s="18"/>
      <c r="E29" s="18">
        <v>90000</v>
      </c>
      <c r="F29" s="19">
        <f>IF(AND(D29="",E29=""),"",StartBal+SUM($D$6:D29)-SUM($E$6:E29))</f>
        <v>0</v>
      </c>
    </row>
    <row r="30" spans="1:6">
      <c r="A30" s="15"/>
      <c r="B30" s="16"/>
      <c r="C30" s="17"/>
      <c r="D30" s="18"/>
      <c r="E30" s="18"/>
      <c r="F30" s="19">
        <f>IF(AND(D30="",E30=""),"",StartBal+SUM($D$6:D30)-SUM($E$6:E30))</f>
        <v>0</v>
      </c>
    </row>
    <row r="31" spans="1:6">
      <c r="A31" s="15"/>
      <c r="B31" s="16"/>
      <c r="C31" s="17"/>
      <c r="D31" s="18"/>
      <c r="E31" s="18"/>
      <c r="F31" s="19">
        <f>IF(AND(D31="",E31=""),"",StartBal+SUM($D$6:D31)-SUM($E$6:E31))</f>
        <v>0</v>
      </c>
    </row>
    <row r="32" spans="1:6">
      <c r="A32" s="15"/>
      <c r="B32" s="16"/>
      <c r="C32" s="17"/>
      <c r="D32" s="18"/>
      <c r="E32" s="18"/>
      <c r="F32" s="19">
        <f>IF(AND(D32="",E32=""),"",StartBal+SUM($D$6:D32)-SUM($E$6:E32))</f>
        <v>0</v>
      </c>
    </row>
    <row r="33" spans="1:6">
      <c r="A33" s="15"/>
      <c r="B33" s="16"/>
      <c r="C33" s="17"/>
      <c r="D33" s="18"/>
      <c r="E33" s="18"/>
      <c r="F33" s="19">
        <f>IF(AND(D33="",E33=""),"",StartBal+SUM($D$6:D33)-SUM($E$6:E33))</f>
        <v>0</v>
      </c>
    </row>
    <row r="34" spans="1:6">
      <c r="A34" s="15"/>
      <c r="B34" s="16"/>
      <c r="C34" s="17"/>
      <c r="D34" s="18"/>
      <c r="E34" s="18"/>
      <c r="F34" s="19">
        <f>IF(AND(D34="",E34=""),"",StartBal+SUM($D$6:D34)-SUM($E$6:E34))</f>
        <v>0</v>
      </c>
    </row>
    <row r="35" spans="1:6">
      <c r="A35" s="15"/>
      <c r="B35" s="16"/>
      <c r="C35" s="17"/>
      <c r="D35" s="18"/>
      <c r="E35" s="18"/>
      <c r="F35" s="19">
        <f>IF(AND(D35="",E35=""),"",StartBal+SUM($D$6:D35)-SUM($E$6:E35))</f>
        <v>0</v>
      </c>
    </row>
    <row r="36" spans="1:6">
      <c r="A36" s="15"/>
      <c r="B36" s="16"/>
      <c r="C36" s="17"/>
      <c r="D36" s="18"/>
      <c r="E36" s="18"/>
      <c r="F36" s="19">
        <f>IF(AND(D36="",E36=""),"",StartBal+SUM($D$6:D36)-SUM($E$6:E36))</f>
        <v>0</v>
      </c>
    </row>
    <row r="37" spans="1:6">
      <c r="A37" s="15"/>
      <c r="B37" s="16"/>
      <c r="C37" s="17"/>
      <c r="D37" s="18"/>
      <c r="E37" s="18"/>
      <c r="F37" s="19">
        <f>IF(AND(D37="",E37=""),"",StartBal+SUM($D$6:D37)-SUM($E$6:E37))</f>
        <v>0</v>
      </c>
    </row>
    <row r="38" spans="1:6">
      <c r="A38" s="15"/>
      <c r="B38" s="16"/>
      <c r="C38" s="17"/>
      <c r="D38" s="18"/>
      <c r="E38" s="18"/>
      <c r="F38" s="19">
        <f>IF(AND(D38="",E38=""),"",StartBal+SUM($D$6:D38)-SUM($E$6:E38))</f>
        <v>0</v>
      </c>
    </row>
    <row r="39" spans="1:6">
      <c r="A39" s="15"/>
      <c r="B39" s="16"/>
      <c r="C39" s="17"/>
      <c r="D39" s="18"/>
      <c r="E39" s="18"/>
      <c r="F39" s="19">
        <f>IF(AND(D39="",E39=""),"",StartBal+SUM($D$6:D39)-SUM($E$6:E39))</f>
        <v>0</v>
      </c>
    </row>
    <row r="40" spans="1:6">
      <c r="A40" s="15"/>
      <c r="B40" s="16"/>
      <c r="C40" s="17"/>
      <c r="D40" s="18"/>
      <c r="E40" s="18"/>
      <c r="F40" s="19">
        <f>IF(AND(D40="",E40=""),"",StartBal+SUM($D$6:D40)-SUM($E$6:E40))</f>
        <v>0</v>
      </c>
    </row>
    <row r="41" spans="1:6">
      <c r="A41" s="15"/>
      <c r="B41" s="16"/>
      <c r="C41" s="17"/>
      <c r="D41" s="18"/>
      <c r="E41" s="18"/>
      <c r="F41" s="19">
        <f>IF(AND(D41="",E41=""),"",StartBal+SUM($D$6:D41)-SUM($E$6:E41))</f>
        <v>0</v>
      </c>
    </row>
    <row r="42" spans="1:6">
      <c r="A42" s="15"/>
      <c r="B42" s="16"/>
      <c r="C42" s="17"/>
      <c r="D42" s="18"/>
      <c r="E42" s="18"/>
      <c r="F42" s="19">
        <f>IF(AND(D42="",E42=""),"",StartBal+SUM($D$6:D42)-SUM($E$6:E42))</f>
        <v>0</v>
      </c>
    </row>
    <row r="43" spans="1:6">
      <c r="A43" s="15"/>
      <c r="B43" s="16"/>
      <c r="C43" s="17"/>
      <c r="D43" s="18"/>
      <c r="E43" s="18"/>
      <c r="F43" s="19">
        <f>IF(AND(D43="",E43=""),"",StartBal+SUM($D$6:D43)-SUM($E$6:E43))</f>
        <v>0</v>
      </c>
    </row>
    <row r="44" spans="1:6">
      <c r="A44" s="15"/>
      <c r="B44" s="16"/>
      <c r="C44" s="17"/>
      <c r="D44" s="18"/>
      <c r="E44" s="18"/>
      <c r="F44" s="19">
        <f>IF(AND(D44="",E44=""),"",StartBal+SUM($D$6:D44)-SUM($E$6:E44))</f>
        <v>0</v>
      </c>
    </row>
    <row r="45" spans="1:6">
      <c r="A45" s="15"/>
      <c r="B45" s="16"/>
      <c r="C45" s="17"/>
      <c r="D45" s="18"/>
      <c r="E45" s="18"/>
      <c r="F45" s="19">
        <f>IF(AND(D45="",E45=""),"",StartBal+SUM($D$6:D45)-SUM($E$6:E45))</f>
        <v>0</v>
      </c>
    </row>
    <row r="46" spans="1:6">
      <c r="A46" s="15"/>
      <c r="B46" s="16"/>
      <c r="C46" s="17"/>
      <c r="D46" s="18"/>
      <c r="E46" s="18"/>
      <c r="F46" s="19">
        <f>IF(AND(D46="",E46=""),"",StartBal+SUM($D$6:D46)-SUM($E$6:E46))</f>
        <v>0</v>
      </c>
    </row>
    <row r="47" spans="1:6">
      <c r="A47" s="15"/>
      <c r="B47" s="16"/>
      <c r="C47" s="17"/>
      <c r="D47" s="18"/>
      <c r="E47" s="18"/>
      <c r="F47" s="19">
        <f>IF(AND(D47="",E47=""),"",StartBal+SUM($D$6:D47)-SUM($E$6:E47))</f>
        <v>0</v>
      </c>
    </row>
    <row r="48" spans="1:6">
      <c r="A48" s="15"/>
      <c r="B48" s="16"/>
      <c r="C48" s="17"/>
      <c r="D48" s="18"/>
      <c r="E48" s="18"/>
      <c r="F48" s="19">
        <f>IF(AND(D48="",E48=""),"",StartBal+SUM($D$6:D48)-SUM($E$6:E48))</f>
        <v>0</v>
      </c>
    </row>
    <row r="49" spans="1:6">
      <c r="A49" s="15"/>
      <c r="B49" s="16"/>
      <c r="C49" s="17"/>
      <c r="D49" s="18"/>
      <c r="E49" s="18"/>
      <c r="F49" s="19">
        <f>IF(AND(D49="",E49=""),"",StartBal+SUM($D$6:D49)-SUM($E$6:E49))</f>
        <v>0</v>
      </c>
    </row>
    <row r="50" spans="1:6">
      <c r="A50" s="15"/>
      <c r="B50" s="16"/>
      <c r="C50" s="17"/>
      <c r="D50" s="18"/>
      <c r="E50" s="18"/>
      <c r="F50" s="19">
        <f>IF(AND(D50="",E50=""),"",StartBal+SUM($D$6:D50)-SUM($E$6:E50))</f>
        <v>0</v>
      </c>
    </row>
    <row r="51" spans="1:6">
      <c r="A51" s="15"/>
      <c r="B51" s="16"/>
      <c r="C51" s="17"/>
      <c r="D51" s="18"/>
      <c r="E51" s="18"/>
      <c r="F51" s="19">
        <f>IF(AND(D51="",E51=""),"",StartBal+SUM($D$6:D51)-SUM($E$6:E51))</f>
        <v>0</v>
      </c>
    </row>
    <row r="52" spans="1:6">
      <c r="A52" s="15"/>
      <c r="B52" s="16"/>
      <c r="C52" s="17"/>
      <c r="D52" s="18"/>
      <c r="E52" s="18"/>
      <c r="F52" s="19">
        <f>IF(AND(D52="",E52=""),"",StartBal+SUM($D$6:D52)-SUM($E$6:E52))</f>
        <v>0</v>
      </c>
    </row>
    <row r="53" spans="1:6">
      <c r="A53" s="15"/>
      <c r="B53" s="16"/>
      <c r="C53" s="17"/>
      <c r="D53" s="18"/>
      <c r="E53" s="18"/>
      <c r="F53" s="19">
        <f>IF(AND(D53="",E53=""),"",StartBal+SUM($D$6:D53)-SUM($E$6:E53))</f>
        <v>0</v>
      </c>
    </row>
    <row r="54" spans="1:6">
      <c r="A54" s="15"/>
      <c r="B54" s="16"/>
      <c r="C54" s="17"/>
      <c r="D54" s="18"/>
      <c r="E54" s="18"/>
      <c r="F54" s="19">
        <f>IF(AND(D54="",E54=""),"",StartBal+SUM($D$6:D54)-SUM($E$6:E54))</f>
        <v>0</v>
      </c>
    </row>
    <row r="55" spans="1:6">
      <c r="A55" s="15"/>
      <c r="B55" s="16"/>
      <c r="C55" s="17"/>
      <c r="D55" s="18"/>
      <c r="E55" s="18"/>
      <c r="F55" s="19">
        <f>IF(AND(D55="",E55=""),"",StartBal+SUM($D$6:D55)-SUM($E$6:E55))</f>
        <v>0</v>
      </c>
    </row>
    <row r="56" spans="1:6">
      <c r="A56" s="15"/>
      <c r="B56" s="16"/>
      <c r="C56" s="17"/>
      <c r="D56" s="18"/>
      <c r="E56" s="18"/>
      <c r="F56" s="19">
        <f>IF(AND(D56="",E56=""),"",StartBal+SUM($D$6:D56)-SUM($E$6:E56))</f>
        <v>0</v>
      </c>
    </row>
    <row r="57" spans="1:6">
      <c r="A57" s="15"/>
      <c r="B57" s="16"/>
      <c r="C57" s="17"/>
      <c r="D57" s="18"/>
      <c r="E57" s="18"/>
      <c r="F57" s="19">
        <f>IF(AND(D57="",E57=""),"",StartBal+SUM($D$6:D57)-SUM($E$6:E57))</f>
        <v>0</v>
      </c>
    </row>
    <row r="58" spans="1:6">
      <c r="A58" s="15"/>
      <c r="B58" s="16"/>
      <c r="C58" s="17"/>
      <c r="D58" s="18"/>
      <c r="E58" s="18"/>
      <c r="F58" s="19">
        <f>IF(AND(D58="",E58=""),"",StartBal+SUM($D$6:D58)-SUM($E$6:E58))</f>
        <v>0</v>
      </c>
    </row>
    <row r="59" spans="1:6">
      <c r="A59" s="15"/>
      <c r="B59" s="16"/>
      <c r="C59" s="17"/>
      <c r="D59" s="18"/>
      <c r="E59" s="18"/>
      <c r="F59" s="19">
        <f>IF(AND(D59="",E59=""),"",StartBal+SUM($D$6:D59)-SUM($E$6:E59))</f>
        <v>0</v>
      </c>
    </row>
    <row r="60" spans="1:6">
      <c r="A60" s="15"/>
      <c r="B60" s="16"/>
      <c r="C60" s="17"/>
      <c r="D60" s="18"/>
      <c r="E60" s="18"/>
      <c r="F60" s="19">
        <f>IF(AND(D60="",E60=""),"",StartBal+SUM($D$6:D60)-SUM($E$6:E60))</f>
        <v>0</v>
      </c>
    </row>
    <row r="61" spans="1:6">
      <c r="A61" s="15"/>
      <c r="B61" s="16"/>
      <c r="C61" s="17"/>
      <c r="D61" s="18"/>
      <c r="E61" s="18"/>
      <c r="F61" s="19">
        <f>IF(AND(D61="",E61=""),"",StartBal+SUM($D$6:D61)-SUM($E$6:E61))</f>
        <v>0</v>
      </c>
    </row>
    <row r="62" spans="1:6">
      <c r="A62" s="15"/>
      <c r="B62" s="16"/>
      <c r="C62" s="17"/>
      <c r="D62" s="18"/>
      <c r="E62" s="18"/>
      <c r="F62" s="19">
        <f>IF(AND(D62="",E62=""),"",StartBal+SUM($D$6:D62)-SUM($E$6:E62))</f>
        <v>0</v>
      </c>
    </row>
    <row r="63" spans="1:6">
      <c r="A63" s="15"/>
      <c r="B63" s="16"/>
      <c r="C63" s="17"/>
      <c r="D63" s="18"/>
      <c r="E63" s="18"/>
      <c r="F63" s="19">
        <f>IF(AND(D63="",E63=""),"",StartBal+SUM($D$6:D63)-SUM($E$6:E63))</f>
        <v>0</v>
      </c>
    </row>
    <row r="64" spans="1:6">
      <c r="A64" s="15"/>
      <c r="B64" s="16"/>
      <c r="C64" s="17"/>
      <c r="D64" s="18"/>
      <c r="E64" s="18"/>
      <c r="F64" s="19">
        <f>IF(AND(D64="",E64=""),"",StartBal+SUM($D$6:D64)-SUM($E$6:E64))</f>
        <v>0</v>
      </c>
    </row>
    <row r="65" spans="1:6">
      <c r="A65" s="15"/>
      <c r="B65" s="16"/>
      <c r="C65" s="17"/>
      <c r="D65" s="18"/>
      <c r="E65" s="18"/>
      <c r="F65" s="19">
        <f>IF(AND(D65="",E65=""),"",StartBal+SUM($D$6:D65)-SUM($E$6:E65))</f>
        <v>0</v>
      </c>
    </row>
    <row r="66" spans="1:6">
      <c r="A66" s="15"/>
      <c r="B66" s="16"/>
      <c r="C66" s="17"/>
      <c r="D66" s="18"/>
      <c r="E66" s="18"/>
      <c r="F66" s="19">
        <f>IF(AND(D66="",E66=""),"",StartBal+SUM($D$6:D66)-SUM($E$6:E66))</f>
        <v>0</v>
      </c>
    </row>
    <row r="67" spans="1:6">
      <c r="A67" s="15"/>
      <c r="B67" s="16"/>
      <c r="C67" s="17"/>
      <c r="D67" s="18"/>
      <c r="E67" s="18"/>
      <c r="F67" s="19">
        <f>IF(AND(D67="",E67=""),"",StartBal+SUM($D$6:D67)-SUM($E$6:E67))</f>
        <v>0</v>
      </c>
    </row>
    <row r="68" spans="1:6">
      <c r="A68" s="15"/>
      <c r="B68" s="16"/>
      <c r="C68" s="17"/>
      <c r="D68" s="18"/>
      <c r="E68" s="18"/>
      <c r="F68" s="19">
        <f>IF(AND(D68="",E68=""),"",StartBal+SUM($D$6:D68)-SUM($E$6:E68))</f>
        <v>0</v>
      </c>
    </row>
    <row r="69" spans="1:6">
      <c r="A69" s="15"/>
      <c r="B69" s="16"/>
      <c r="C69" s="17"/>
      <c r="D69" s="18"/>
      <c r="E69" s="18"/>
      <c r="F69" s="19">
        <f>IF(AND(D69="",E69=""),"",StartBal+SUM($D$6:D69)-SUM($E$6:E69))</f>
        <v>0</v>
      </c>
    </row>
    <row r="70" spans="1:6">
      <c r="A70" s="15"/>
      <c r="B70" s="16"/>
      <c r="C70" s="17"/>
      <c r="D70" s="18"/>
      <c r="E70" s="18"/>
      <c r="F70" s="19">
        <f>IF(AND(D70="",E70=""),"",StartBal+SUM($D$6:D70)-SUM($E$6:E70))</f>
        <v>0</v>
      </c>
    </row>
    <row r="71" spans="1:6">
      <c r="A71" s="15"/>
      <c r="B71" s="16"/>
      <c r="C71" s="17"/>
      <c r="D71" s="18"/>
      <c r="E71" s="18"/>
      <c r="F71" s="19">
        <f>IF(AND(D71="",E71=""),"",StartBal+SUM($D$6:D71)-SUM($E$6:E71))</f>
        <v>0</v>
      </c>
    </row>
    <row r="72" spans="1:6">
      <c r="A72" s="15"/>
      <c r="B72" s="16"/>
      <c r="C72" s="17"/>
      <c r="D72" s="18"/>
      <c r="E72" s="18"/>
      <c r="F72" s="19">
        <f>IF(AND(D72="",E72=""),"",StartBal+SUM($D$6:D72)-SUM($E$6:E72))</f>
        <v>0</v>
      </c>
    </row>
    <row r="73" spans="1:6">
      <c r="A73" s="15"/>
      <c r="B73" s="16"/>
      <c r="C73" s="17"/>
      <c r="D73" s="18"/>
      <c r="E73" s="18"/>
      <c r="F73" s="19">
        <f>IF(AND(D73="",E73=""),"",StartBal+SUM($D$6:D73)-SUM($E$6:E73))</f>
        <v>0</v>
      </c>
    </row>
    <row r="74" spans="1:6">
      <c r="A74" s="15"/>
      <c r="B74" s="16"/>
      <c r="C74" s="17"/>
      <c r="D74" s="18"/>
      <c r="E74" s="18"/>
      <c r="F74" s="19">
        <f>IF(AND(D74="",E74=""),"",StartBal+SUM($D$6:D74)-SUM($E$6:E74))</f>
        <v>0</v>
      </c>
    </row>
    <row r="75" spans="1:6">
      <c r="A75" s="15"/>
      <c r="B75" s="16"/>
      <c r="C75" s="17"/>
      <c r="D75" s="18"/>
      <c r="E75" s="18"/>
      <c r="F75" s="19">
        <f>IF(AND(D75="",E75=""),"",StartBal+SUM($D$6:D75)-SUM($E$6:E75))</f>
        <v>0</v>
      </c>
    </row>
    <row r="76" spans="1:6">
      <c r="A76" s="15"/>
      <c r="B76" s="16"/>
      <c r="C76" s="17"/>
      <c r="D76" s="18"/>
      <c r="E76" s="18"/>
      <c r="F76" s="19">
        <f>IF(AND(D76="",E76=""),"",StartBal+SUM($D$6:D76)-SUM($E$6:E76))</f>
        <v>0</v>
      </c>
    </row>
    <row r="77" spans="1:6">
      <c r="A77" s="15"/>
      <c r="B77" s="16"/>
      <c r="C77" s="17"/>
      <c r="D77" s="18"/>
      <c r="E77" s="18"/>
      <c r="F77" s="19">
        <f>IF(AND(D77="",E77=""),"",StartBal+SUM($D$6:D77)-SUM($E$6:E77))</f>
        <v>0</v>
      </c>
    </row>
    <row r="78" spans="1:6">
      <c r="A78" s="15"/>
      <c r="B78" s="16"/>
      <c r="C78" s="17"/>
      <c r="D78" s="18"/>
      <c r="E78" s="18"/>
      <c r="F78" s="19">
        <f>IF(AND(D78="",E78=""),"",StartBal+SUM($D$6:D78)-SUM($E$6:E78))</f>
        <v>0</v>
      </c>
    </row>
    <row r="79" spans="1:6">
      <c r="A79" s="15"/>
      <c r="B79" s="16"/>
      <c r="C79" s="17"/>
      <c r="D79" s="18"/>
      <c r="E79" s="18"/>
      <c r="F79" s="19">
        <f>IF(AND(D79="",E79=""),"",StartBal+SUM($D$6:D79)-SUM($E$6:E79))</f>
        <v>0</v>
      </c>
    </row>
    <row r="80" spans="1:6">
      <c r="A80" s="15"/>
      <c r="B80" s="16"/>
      <c r="C80" s="17"/>
      <c r="D80" s="18"/>
      <c r="E80" s="18"/>
      <c r="F80" s="19">
        <f>IF(AND(D80="",E80=""),"",StartBal+SUM($D$6:D80)-SUM($E$6:E80))</f>
        <v>0</v>
      </c>
    </row>
    <row r="81" spans="1:6">
      <c r="A81" s="15"/>
      <c r="B81" s="16"/>
      <c r="C81" s="17"/>
      <c r="D81" s="18"/>
      <c r="E81" s="18"/>
      <c r="F81" s="19">
        <f>IF(AND(D81="",E81=""),"",StartBal+SUM($D$6:D81)-SUM($E$6:E81))</f>
        <v>0</v>
      </c>
    </row>
    <row r="82" spans="1:6">
      <c r="A82" s="15"/>
      <c r="B82" s="16"/>
      <c r="C82" s="17"/>
      <c r="D82" s="18"/>
      <c r="E82" s="18"/>
      <c r="F82" s="19">
        <f>IF(AND(D82="",E82=""),"",StartBal+SUM($D$6:D82)-SUM($E$6:E82))</f>
        <v>0</v>
      </c>
    </row>
    <row r="83" spans="1:6">
      <c r="A83" s="15"/>
      <c r="B83" s="16"/>
      <c r="C83" s="17"/>
      <c r="D83" s="18"/>
      <c r="E83" s="18"/>
      <c r="F83" s="19">
        <f>IF(AND(D83="",E83=""),"",StartBal+SUM($D$6:D83)-SUM($E$6:E83))</f>
        <v>0</v>
      </c>
    </row>
    <row r="84" spans="1:6">
      <c r="A84" s="15"/>
      <c r="B84" s="16"/>
      <c r="C84" s="17"/>
      <c r="D84" s="18"/>
      <c r="E84" s="18"/>
      <c r="F84" s="19">
        <f>IF(AND(D84="",E84=""),"",StartBal+SUM($D$6:D84)-SUM($E$6:E84))</f>
        <v>0</v>
      </c>
    </row>
    <row r="85" spans="1:6">
      <c r="A85" s="15"/>
      <c r="B85" s="16"/>
      <c r="C85" s="17"/>
      <c r="D85" s="18"/>
      <c r="E85" s="18"/>
      <c r="F85" s="19">
        <f>IF(AND(D85="",E85=""),"",StartBal+SUM($D$6:D85)-SUM($E$6:E85))</f>
        <v>0</v>
      </c>
    </row>
    <row r="86" spans="1:6">
      <c r="A86" s="15"/>
      <c r="B86" s="16"/>
      <c r="C86" s="17"/>
      <c r="D86" s="18"/>
      <c r="E86" s="18"/>
      <c r="F86" s="19">
        <f>IF(AND(D86="",E86=""),"",StartBal+SUM($D$6:D86)-SUM($E$6:E86))</f>
        <v>0</v>
      </c>
    </row>
    <row r="87" spans="1:6">
      <c r="A87" s="15"/>
      <c r="B87" s="16"/>
      <c r="C87" s="17"/>
      <c r="D87" s="18"/>
      <c r="E87" s="18"/>
      <c r="F87" s="19">
        <f>IF(AND(D87="",E87=""),"",StartBal+SUM($D$6:D87)-SUM($E$6:E87))</f>
        <v>0</v>
      </c>
    </row>
    <row r="88" spans="1:6">
      <c r="A88" s="15"/>
      <c r="B88" s="16"/>
      <c r="C88" s="17"/>
      <c r="D88" s="18"/>
      <c r="E88" s="18"/>
      <c r="F88" s="19">
        <f>IF(AND(D88="",E88=""),"",StartBal+SUM($D$6:D88)-SUM($E$6:E88))</f>
        <v>0</v>
      </c>
    </row>
    <row r="89" spans="1:6">
      <c r="A89" s="15"/>
      <c r="B89" s="16"/>
      <c r="C89" s="17"/>
      <c r="D89" s="18"/>
      <c r="E89" s="18"/>
      <c r="F89" s="19">
        <f>IF(AND(D89="",E89=""),"",StartBal+SUM($D$6:D89)-SUM($E$6:E89))</f>
        <v>0</v>
      </c>
    </row>
    <row r="90" spans="1:6">
      <c r="A90" s="15"/>
      <c r="B90" s="16"/>
      <c r="C90" s="17"/>
      <c r="D90" s="18"/>
      <c r="E90" s="18"/>
      <c r="F90" s="19">
        <f>IF(AND(D90="",E90=""),"",StartBal+SUM($D$6:D90)-SUM($E$6:E90))</f>
        <v>0</v>
      </c>
    </row>
    <row r="91" spans="1:6">
      <c r="A91" s="15"/>
      <c r="B91" s="16"/>
      <c r="C91" s="17"/>
      <c r="D91" s="18"/>
      <c r="E91" s="18"/>
      <c r="F91" s="19">
        <f>IF(AND(D91="",E91=""),"",StartBal+SUM($D$6:D91)-SUM($E$6:E91))</f>
        <v>0</v>
      </c>
    </row>
    <row r="92" spans="1:6">
      <c r="A92" s="15"/>
      <c r="B92" s="16"/>
      <c r="C92" s="17"/>
      <c r="D92" s="18"/>
      <c r="E92" s="18"/>
      <c r="F92" s="19">
        <f>IF(AND(D92="",E92=""),"",StartBal+SUM($D$6:D92)-SUM($E$6:E92))</f>
        <v>0</v>
      </c>
    </row>
    <row r="93" spans="1:6">
      <c r="A93" s="15"/>
      <c r="B93" s="16"/>
      <c r="C93" s="17"/>
      <c r="D93" s="18"/>
      <c r="E93" s="18"/>
      <c r="F93" s="19">
        <f>IF(AND(D93="",E93=""),"",StartBal+SUM($D$6:D93)-SUM($E$6:E93))</f>
        <v>0</v>
      </c>
    </row>
    <row r="94" spans="1:6">
      <c r="A94" s="15"/>
      <c r="B94" s="16"/>
      <c r="C94" s="17"/>
      <c r="D94" s="18"/>
      <c r="E94" s="18"/>
      <c r="F94" s="19">
        <f>IF(AND(D94="",E94=""),"",StartBal+SUM($D$6:D94)-SUM($E$6:E94))</f>
        <v>0</v>
      </c>
    </row>
    <row r="95" spans="1:6">
      <c r="A95" s="15"/>
      <c r="B95" s="16"/>
      <c r="C95" s="17"/>
      <c r="D95" s="18"/>
      <c r="E95" s="18"/>
      <c r="F95" s="19">
        <f>IF(AND(D95="",E95=""),"",StartBal+SUM($D$6:D95)-SUM($E$6:E95))</f>
        <v>0</v>
      </c>
    </row>
    <row r="96" spans="1:6">
      <c r="A96" s="15"/>
      <c r="B96" s="16"/>
      <c r="C96" s="17"/>
      <c r="D96" s="18"/>
      <c r="E96" s="18"/>
      <c r="F96" s="19">
        <f>IF(AND(D96="",E96=""),"",StartBal+SUM($D$6:D96)-SUM($E$6:E96))</f>
        <v>0</v>
      </c>
    </row>
    <row r="97" spans="1:6">
      <c r="A97" s="15"/>
      <c r="B97" s="16"/>
      <c r="C97" s="17"/>
      <c r="D97" s="18"/>
      <c r="E97" s="18"/>
      <c r="F97" s="19">
        <f>IF(AND(D97="",E97=""),"",StartBal+SUM($D$6:D97)-SUM($E$6:E97))</f>
        <v>0</v>
      </c>
    </row>
    <row r="98" spans="1:6">
      <c r="A98" s="15"/>
      <c r="B98" s="16"/>
      <c r="C98" s="17"/>
      <c r="D98" s="18"/>
      <c r="E98" s="18"/>
      <c r="F98" s="19">
        <f>IF(AND(D98="",E98=""),"",StartBal+SUM($D$6:D98)-SUM($E$6:E98))</f>
        <v>0</v>
      </c>
    </row>
    <row r="99" spans="1:6">
      <c r="A99" s="15"/>
      <c r="B99" s="16"/>
      <c r="C99" s="17"/>
      <c r="D99" s="18"/>
      <c r="E99" s="18"/>
      <c r="F99" s="19">
        <f>IF(AND(D99="",E99=""),"",StartBal+SUM($D$6:D99)-SUM($E$6:E99))</f>
        <v>0</v>
      </c>
    </row>
    <row r="100" spans="1:6">
      <c r="A100" s="15"/>
      <c r="B100" s="16"/>
      <c r="C100" s="17"/>
      <c r="D100" s="18"/>
      <c r="E100" s="18"/>
      <c r="F100" s="19">
        <f>IF(AND(D100="",E100=""),"",StartBal+SUM($D$6:D100)-SUM($E$6:E100))</f>
        <v>0</v>
      </c>
    </row>
    <row r="101" spans="1:6">
      <c r="A101" s="15"/>
      <c r="B101" s="16"/>
      <c r="C101" s="17"/>
      <c r="D101" s="18"/>
      <c r="E101" s="18"/>
      <c r="F101" s="19">
        <f>IF(AND(D101="",E101=""),"",StartBal+SUM($D$6:D101)-SUM($E$6:E101))</f>
        <v>0</v>
      </c>
    </row>
    <row r="102" spans="1:6">
      <c r="A102" s="15"/>
      <c r="B102" s="16"/>
      <c r="C102" s="17"/>
      <c r="D102" s="18"/>
      <c r="E102" s="18"/>
      <c r="F102" s="19">
        <f>IF(AND(D102="",E102=""),"",StartBal+SUM($D$6:D102)-SUM($E$6:E102))</f>
        <v>0</v>
      </c>
    </row>
    <row r="103" spans="1:6">
      <c r="A103" s="15"/>
      <c r="B103" s="16"/>
      <c r="C103" s="17"/>
      <c r="D103" s="18"/>
      <c r="E103" s="18"/>
      <c r="F103" s="19">
        <f>IF(AND(D103="",E103=""),"",StartBal+SUM($D$6:D103)-SUM($E$6:E103))</f>
        <v>0</v>
      </c>
    </row>
    <row r="104" spans="1:6">
      <c r="A104" s="15"/>
      <c r="B104" s="16"/>
      <c r="C104" s="17"/>
      <c r="D104" s="18"/>
      <c r="E104" s="18"/>
      <c r="F104" s="19">
        <f>IF(AND(D104="",E104=""),"",StartBal+SUM($D$6:D104)-SUM($E$6:E104))</f>
        <v>0</v>
      </c>
    </row>
    <row r="105" spans="1:6">
      <c r="A105" s="15"/>
      <c r="B105" s="16"/>
      <c r="C105" s="17"/>
      <c r="D105" s="18"/>
      <c r="E105" s="18"/>
      <c r="F105" s="19">
        <f>IF(AND(D105="",E105=""),"",StartBal+SUM($D$6:D105)-SUM($E$6:E105))</f>
        <v>0</v>
      </c>
    </row>
    <row r="106" spans="1:6">
      <c r="A106" s="15"/>
      <c r="B106" s="16"/>
      <c r="C106" s="17"/>
      <c r="D106" s="18"/>
      <c r="E106" s="18"/>
      <c r="F106" s="19">
        <f>IF(AND(D106="",E106=""),"",StartBal+SUM($D$6:D106)-SUM($E$6:E106))</f>
        <v>0</v>
      </c>
    </row>
    <row r="107" spans="1:6">
      <c r="A107" s="15"/>
      <c r="B107" s="16"/>
      <c r="C107" s="17"/>
      <c r="D107" s="18"/>
      <c r="E107" s="18"/>
      <c r="F107" s="19">
        <f>IF(AND(D107="",E107=""),"",StartBal+SUM($D$6:D107)-SUM($E$6:E107))</f>
        <v>0</v>
      </c>
    </row>
    <row r="108" spans="1:6">
      <c r="A108" s="15"/>
      <c r="B108" s="16"/>
      <c r="C108" s="17"/>
      <c r="D108" s="18"/>
      <c r="E108" s="18"/>
      <c r="F108" s="19">
        <f>IF(AND(D108="",E108=""),"",StartBal+SUM($D$6:D108)-SUM($E$6:E108))</f>
        <v>0</v>
      </c>
    </row>
    <row r="109" spans="1:6">
      <c r="A109" s="15"/>
      <c r="B109" s="16"/>
      <c r="C109" s="17"/>
      <c r="D109" s="18"/>
      <c r="E109" s="18"/>
      <c r="F109" s="19">
        <f>IF(AND(D109="",E109=""),"",StartBal+SUM($D$6:D109)-SUM($E$6:E109))</f>
        <v>0</v>
      </c>
    </row>
    <row r="110" spans="1:6">
      <c r="A110" s="15"/>
      <c r="B110" s="16"/>
      <c r="C110" s="17"/>
      <c r="D110" s="18"/>
      <c r="E110" s="18"/>
      <c r="F110" s="19">
        <f>IF(AND(D110="",E110=""),"",StartBal+SUM($D$6:D110)-SUM($E$6:E110))</f>
        <v>0</v>
      </c>
    </row>
    <row r="111" spans="1:6">
      <c r="A111" s="15"/>
      <c r="B111" s="16"/>
      <c r="C111" s="17"/>
      <c r="D111" s="18"/>
      <c r="E111" s="18"/>
      <c r="F111" s="19">
        <f>IF(AND(D111="",E111=""),"",StartBal+SUM($D$6:D111)-SUM($E$6:E111))</f>
        <v>0</v>
      </c>
    </row>
    <row r="112" spans="1:6">
      <c r="A112" s="15"/>
      <c r="B112" s="16"/>
      <c r="C112" s="17"/>
      <c r="D112" s="18"/>
      <c r="E112" s="18"/>
      <c r="F112" s="19">
        <f>IF(AND(D112="",E112=""),"",StartBal+SUM($D$6:D112)-SUM($E$6:E112))</f>
        <v>0</v>
      </c>
    </row>
    <row r="113" spans="1:6">
      <c r="A113" s="15"/>
      <c r="B113" s="16"/>
      <c r="C113" s="17"/>
      <c r="D113" s="18"/>
      <c r="E113" s="18"/>
      <c r="F113" s="19">
        <f>IF(AND(D113="",E113=""),"",StartBal+SUM($D$6:D113)-SUM($E$6:E113))</f>
        <v>0</v>
      </c>
    </row>
    <row r="114" spans="1:6">
      <c r="A114" s="15"/>
      <c r="B114" s="16"/>
      <c r="C114" s="17"/>
      <c r="D114" s="18"/>
      <c r="E114" s="18"/>
      <c r="F114" s="19">
        <f>IF(AND(D114="",E114=""),"",StartBal+SUM($D$6:D114)-SUM($E$6:E114))</f>
        <v>0</v>
      </c>
    </row>
    <row r="115" spans="1:6">
      <c r="A115" s="15"/>
      <c r="B115" s="16"/>
      <c r="C115" s="17"/>
      <c r="D115" s="18"/>
      <c r="E115" s="18"/>
      <c r="F115" s="19">
        <f>IF(AND(D115="",E115=""),"",StartBal+SUM($D$6:D115)-SUM($E$6:E115))</f>
        <v>0</v>
      </c>
    </row>
    <row r="116" spans="1:6">
      <c r="A116" s="15"/>
      <c r="B116" s="16"/>
      <c r="C116" s="17"/>
      <c r="D116" s="18"/>
      <c r="E116" s="18"/>
      <c r="F116" s="19">
        <f>IF(AND(D116="",E116=""),"",StartBal+SUM($D$6:D116)-SUM($E$6:E116))</f>
        <v>0</v>
      </c>
    </row>
    <row r="117" spans="1:6">
      <c r="A117" s="15"/>
      <c r="B117" s="16"/>
      <c r="C117" s="17"/>
      <c r="D117" s="18"/>
      <c r="E117" s="18"/>
      <c r="F117" s="19">
        <f>IF(AND(D117="",E117=""),"",StartBal+SUM($D$6:D117)-SUM($E$6:E117))</f>
        <v>0</v>
      </c>
    </row>
    <row r="118" spans="1:6">
      <c r="A118" s="15"/>
      <c r="B118" s="16"/>
      <c r="C118" s="17"/>
      <c r="D118" s="18"/>
      <c r="E118" s="18"/>
      <c r="F118" s="19">
        <f>IF(AND(D118="",E118=""),"",StartBal+SUM($D$6:D118)-SUM($E$6:E118))</f>
        <v>0</v>
      </c>
    </row>
    <row r="119" spans="1:6">
      <c r="A119" s="15"/>
      <c r="B119" s="16"/>
      <c r="C119" s="17"/>
      <c r="D119" s="18"/>
      <c r="E119" s="18"/>
      <c r="F119" s="19">
        <f>IF(AND(D119="",E119=""),"",StartBal+SUM($D$6:D119)-SUM($E$6:E119))</f>
        <v>0</v>
      </c>
    </row>
    <row r="120" spans="1:6">
      <c r="A120" s="15"/>
      <c r="B120" s="16"/>
      <c r="C120" s="17"/>
      <c r="D120" s="18"/>
      <c r="E120" s="18"/>
      <c r="F120" s="19">
        <f>IF(AND(D120="",E120=""),"",StartBal+SUM($D$6:D120)-SUM($E$6:E120))</f>
        <v>0</v>
      </c>
    </row>
    <row r="121" spans="1:6">
      <c r="A121" s="15"/>
      <c r="B121" s="16"/>
      <c r="C121" s="17"/>
      <c r="D121" s="18"/>
      <c r="E121" s="18"/>
      <c r="F121" s="19">
        <f>IF(AND(D121="",E121=""),"",StartBal+SUM($D$6:D121)-SUM($E$6:E121))</f>
        <v>0</v>
      </c>
    </row>
    <row r="122" spans="1:6">
      <c r="A122" s="15"/>
      <c r="B122" s="16"/>
      <c r="C122" s="17"/>
      <c r="D122" s="18"/>
      <c r="E122" s="18"/>
      <c r="F122" s="19">
        <f>IF(AND(D122="",E122=""),"",StartBal+SUM($D$6:D122)-SUM($E$6:E122))</f>
        <v>0</v>
      </c>
    </row>
    <row r="123" spans="1:6">
      <c r="A123" s="15"/>
      <c r="B123" s="16"/>
      <c r="C123" s="17"/>
      <c r="D123" s="18"/>
      <c r="E123" s="18"/>
      <c r="F123" s="19">
        <f>IF(AND(D123="",E123=""),"",StartBal+SUM($D$6:D123)-SUM($E$6:E123))</f>
        <v>0</v>
      </c>
    </row>
    <row r="124" spans="1:6">
      <c r="A124" s="15"/>
      <c r="B124" s="16"/>
      <c r="C124" s="17"/>
      <c r="D124" s="18"/>
      <c r="E124" s="18"/>
      <c r="F124" s="19">
        <f>IF(AND(D124="",E124=""),"",StartBal+SUM($D$6:D124)-SUM($E$6:E124))</f>
        <v>0</v>
      </c>
    </row>
    <row r="125" spans="1:6">
      <c r="A125" s="15"/>
      <c r="B125" s="16"/>
      <c r="C125" s="17"/>
      <c r="D125" s="18"/>
      <c r="E125" s="18"/>
      <c r="F125" s="19">
        <f>IF(AND(D125="",E125=""),"",StartBal+SUM($D$6:D125)-SUM($E$6:E125))</f>
        <v>0</v>
      </c>
    </row>
    <row r="126" spans="1:6">
      <c r="A126" s="15"/>
      <c r="B126" s="16"/>
      <c r="C126" s="17"/>
      <c r="D126" s="18"/>
      <c r="E126" s="18"/>
      <c r="F126" s="19">
        <f>IF(AND(D126="",E126=""),"",StartBal+SUM($D$6:D126)-SUM($E$6:E126))</f>
        <v>0</v>
      </c>
    </row>
    <row r="127" spans="1:6">
      <c r="A127" s="15"/>
      <c r="B127" s="16"/>
      <c r="C127" s="17"/>
      <c r="D127" s="18"/>
      <c r="E127" s="18"/>
      <c r="F127" s="19">
        <f>IF(AND(D127="",E127=""),"",StartBal+SUM($D$6:D127)-SUM($E$6:E127))</f>
        <v>0</v>
      </c>
    </row>
    <row r="128" spans="1:6">
      <c r="A128" s="15"/>
      <c r="B128" s="16"/>
      <c r="C128" s="17"/>
      <c r="D128" s="18"/>
      <c r="E128" s="18"/>
      <c r="F128" s="19">
        <f>IF(AND(D128="",E128=""),"",StartBal+SUM($D$6:D128)-SUM($E$6:E128))</f>
        <v>0</v>
      </c>
    </row>
    <row r="129" spans="1:6">
      <c r="A129" s="15"/>
      <c r="B129" s="16"/>
      <c r="C129" s="17"/>
      <c r="D129" s="18"/>
      <c r="E129" s="18"/>
      <c r="F129" s="19">
        <f>IF(AND(D129="",E129=""),"",StartBal+SUM($D$6:D129)-SUM($E$6:E129))</f>
        <v>0</v>
      </c>
    </row>
    <row r="130" spans="1:6">
      <c r="A130" s="15"/>
      <c r="B130" s="16"/>
      <c r="C130" s="17"/>
      <c r="D130" s="18"/>
      <c r="E130" s="18"/>
      <c r="F130" s="19">
        <f>IF(AND(D130="",E130=""),"",StartBal+SUM($D$6:D130)-SUM($E$6:E130))</f>
        <v>0</v>
      </c>
    </row>
    <row r="131" spans="1:6">
      <c r="A131" s="15"/>
      <c r="B131" s="16"/>
      <c r="C131" s="17"/>
      <c r="D131" s="18"/>
      <c r="E131" s="18"/>
      <c r="F131" s="19">
        <f>IF(AND(D131="",E131=""),"",StartBal+SUM($D$6:D131)-SUM($E$6:E131))</f>
        <v>0</v>
      </c>
    </row>
    <row r="132" spans="1:6">
      <c r="A132" s="15"/>
      <c r="B132" s="16"/>
      <c r="C132" s="17"/>
      <c r="D132" s="18"/>
      <c r="E132" s="18"/>
      <c r="F132" s="19">
        <f>IF(AND(D132="",E132=""),"",StartBal+SUM($D$6:D132)-SUM($E$6:E132))</f>
        <v>0</v>
      </c>
    </row>
    <row r="133" spans="1:6">
      <c r="A133" s="15"/>
      <c r="B133" s="16"/>
      <c r="C133" s="17"/>
      <c r="D133" s="18"/>
      <c r="E133" s="18"/>
      <c r="F133" s="19">
        <f>IF(AND(D133="",E133=""),"",StartBal+SUM($D$6:D133)-SUM($E$6:E133))</f>
        <v>0</v>
      </c>
    </row>
    <row r="134" spans="1:6">
      <c r="A134" s="15"/>
      <c r="B134" s="16"/>
      <c r="C134" s="17"/>
      <c r="D134" s="18"/>
      <c r="E134" s="18"/>
      <c r="F134" s="19">
        <f>IF(AND(D134="",E134=""),"",StartBal+SUM($D$6:D134)-SUM($E$6:E134))</f>
        <v>0</v>
      </c>
    </row>
    <row r="135" spans="1:6">
      <c r="A135" s="15"/>
      <c r="B135" s="16"/>
      <c r="C135" s="17"/>
      <c r="D135" s="18"/>
      <c r="E135" s="18"/>
      <c r="F135" s="19">
        <f>IF(AND(D135="",E135=""),"",StartBal+SUM($D$6:D135)-SUM($E$6:E135))</f>
        <v>0</v>
      </c>
    </row>
    <row r="136" spans="1:6">
      <c r="A136" s="15"/>
      <c r="B136" s="16"/>
      <c r="C136" s="17"/>
      <c r="D136" s="18"/>
      <c r="E136" s="18"/>
      <c r="F136" s="19">
        <f>IF(AND(D136="",E136=""),"",StartBal+SUM($D$6:D136)-SUM($E$6:E136))</f>
        <v>0</v>
      </c>
    </row>
    <row r="137" spans="1:6">
      <c r="A137" s="15"/>
      <c r="B137" s="16"/>
      <c r="C137" s="17"/>
      <c r="D137" s="18"/>
      <c r="E137" s="18"/>
      <c r="F137" s="19">
        <f>IF(AND(D137="",E137=""),"",StartBal+SUM($D$6:D137)-SUM($E$6:E137))</f>
        <v>0</v>
      </c>
    </row>
    <row r="138" spans="1:6">
      <c r="A138" s="15"/>
      <c r="B138" s="16"/>
      <c r="C138" s="17"/>
      <c r="D138" s="18"/>
      <c r="E138" s="18"/>
      <c r="F138" s="19">
        <f>IF(AND(D138="",E138=""),"",StartBal+SUM($D$6:D138)-SUM($E$6:E138))</f>
        <v>0</v>
      </c>
    </row>
    <row r="139" spans="1:6">
      <c r="A139" s="15"/>
      <c r="B139" s="16"/>
      <c r="C139" s="17"/>
      <c r="D139" s="18"/>
      <c r="E139" s="18"/>
      <c r="F139" s="19">
        <f>IF(AND(D139="",E139=""),"",StartBal+SUM($D$6:D139)-SUM($E$6:E139))</f>
        <v>0</v>
      </c>
    </row>
    <row r="140" spans="1:6">
      <c r="A140" s="15"/>
      <c r="B140" s="16"/>
      <c r="C140" s="17"/>
      <c r="D140" s="18"/>
      <c r="E140" s="18"/>
      <c r="F140" s="19">
        <f>IF(AND(D140="",E140=""),"",StartBal+SUM($D$6:D140)-SUM($E$6:E140))</f>
        <v>0</v>
      </c>
    </row>
    <row r="141" spans="1:6">
      <c r="A141" s="15"/>
      <c r="B141" s="16"/>
      <c r="C141" s="17"/>
      <c r="D141" s="18"/>
      <c r="E141" s="18"/>
      <c r="F141" s="19">
        <f>IF(AND(D141="",E141=""),"",StartBal+SUM($D$6:D141)-SUM($E$6:E141))</f>
        <v>0</v>
      </c>
    </row>
    <row r="142" spans="1:6">
      <c r="A142" s="15"/>
      <c r="B142" s="16"/>
      <c r="C142" s="17"/>
      <c r="D142" s="18"/>
      <c r="E142" s="18"/>
      <c r="F142" s="19">
        <f>IF(AND(D142="",E142=""),"",StartBal+SUM($D$6:D142)-SUM($E$6:E142))</f>
        <v>0</v>
      </c>
    </row>
    <row r="143" spans="1:6">
      <c r="A143" s="15"/>
      <c r="B143" s="16"/>
      <c r="C143" s="17"/>
      <c r="D143" s="18"/>
      <c r="E143" s="18"/>
      <c r="F143" s="19">
        <f>IF(AND(D143="",E143=""),"",StartBal+SUM($D$6:D143)-SUM($E$6:E143))</f>
        <v>0</v>
      </c>
    </row>
    <row r="144" spans="1:6">
      <c r="A144" s="15"/>
      <c r="B144" s="16"/>
      <c r="C144" s="17"/>
      <c r="D144" s="18"/>
      <c r="E144" s="18"/>
      <c r="F144" s="19">
        <f>IF(AND(D144="",E144=""),"",StartBal+SUM($D$6:D144)-SUM($E$6:E144))</f>
        <v>0</v>
      </c>
    </row>
    <row r="145" spans="1:6">
      <c r="A145" s="15"/>
      <c r="B145" s="16"/>
      <c r="C145" s="17"/>
      <c r="D145" s="18"/>
      <c r="E145" s="18"/>
      <c r="F145" s="19">
        <f>IF(AND(D145="",E145=""),"",StartBal+SUM($D$6:D145)-SUM($E$6:E145))</f>
        <v>0</v>
      </c>
    </row>
    <row r="146" spans="1:6">
      <c r="A146" s="15"/>
      <c r="B146" s="16"/>
      <c r="C146" s="17"/>
      <c r="D146" s="18"/>
      <c r="E146" s="18"/>
      <c r="F146" s="19">
        <f>IF(AND(D146="",E146=""),"",StartBal+SUM($D$6:D146)-SUM($E$6:E146))</f>
        <v>0</v>
      </c>
    </row>
    <row r="147" spans="1:6">
      <c r="A147" s="15"/>
      <c r="B147" s="16"/>
      <c r="C147" s="17"/>
      <c r="D147" s="18"/>
      <c r="E147" s="18"/>
      <c r="F147" s="19">
        <f>IF(AND(D147="",E147=""),"",StartBal+SUM($D$6:D147)-SUM($E$6:E147))</f>
        <v>0</v>
      </c>
    </row>
    <row r="148" spans="1:6">
      <c r="A148" s="15"/>
      <c r="B148" s="16"/>
      <c r="C148" s="17"/>
      <c r="D148" s="18"/>
      <c r="E148" s="18"/>
      <c r="F148" s="19">
        <f>IF(AND(D148="",E148=""),"",StartBal+SUM($D$6:D148)-SUM($E$6:E148))</f>
        <v>0</v>
      </c>
    </row>
    <row r="149" spans="1:6">
      <c r="A149" s="15"/>
      <c r="B149" s="16"/>
      <c r="C149" s="17"/>
      <c r="D149" s="18"/>
      <c r="E149" s="18"/>
      <c r="F149" s="19">
        <f>IF(AND(D149="",E149=""),"",StartBal+SUM($D$6:D149)-SUM($E$6:E149))</f>
        <v>0</v>
      </c>
    </row>
    <row r="150" spans="1:6">
      <c r="A150" s="15"/>
      <c r="B150" s="16"/>
      <c r="C150" s="17"/>
      <c r="D150" s="18"/>
      <c r="E150" s="18"/>
      <c r="F150" s="19">
        <f>IF(AND(D150="",E150=""),"",StartBal+SUM($D$6:D150)-SUM($E$6:E150))</f>
        <v>0</v>
      </c>
    </row>
    <row r="151" spans="1:6">
      <c r="A151" s="15"/>
      <c r="B151" s="16"/>
      <c r="C151" s="17"/>
      <c r="D151" s="18"/>
      <c r="E151" s="18"/>
      <c r="F151" s="19">
        <f>IF(AND(D151="",E151=""),"",StartBal+SUM($D$6:D151)-SUM($E$6:E151))</f>
        <v>0</v>
      </c>
    </row>
    <row r="152" spans="1:6">
      <c r="A152" s="15"/>
      <c r="B152" s="16"/>
      <c r="C152" s="17"/>
      <c r="D152" s="18"/>
      <c r="E152" s="18"/>
      <c r="F152" s="19">
        <f>IF(AND(D152="",E152=""),"",StartBal+SUM($D$6:D152)-SUM($E$6:E152))</f>
        <v>0</v>
      </c>
    </row>
    <row r="153" spans="1:6">
      <c r="A153" s="15"/>
      <c r="B153" s="16"/>
      <c r="C153" s="17"/>
      <c r="D153" s="18"/>
      <c r="E153" s="18"/>
      <c r="F153" s="19">
        <f>IF(AND(D153="",E153=""),"",StartBal+SUM($D$6:D153)-SUM($E$6:E153))</f>
        <v>0</v>
      </c>
    </row>
    <row r="154" spans="1:6">
      <c r="A154" s="15"/>
      <c r="B154" s="16"/>
      <c r="C154" s="17"/>
      <c r="D154" s="18"/>
      <c r="E154" s="18"/>
      <c r="F154" s="19">
        <f>IF(AND(D154="",E154=""),"",StartBal+SUM($D$6:D154)-SUM($E$6:E154))</f>
        <v>0</v>
      </c>
    </row>
    <row r="155" spans="1:6">
      <c r="A155" s="15"/>
      <c r="B155" s="16"/>
      <c r="C155" s="17"/>
      <c r="D155" s="18"/>
      <c r="E155" s="18"/>
      <c r="F155" s="19">
        <f>IF(AND(D155="",E155=""),"",StartBal+SUM($D$6:D155)-SUM($E$6:E155))</f>
        <v>0</v>
      </c>
    </row>
    <row r="156" spans="1:6">
      <c r="A156" s="15"/>
      <c r="B156" s="16"/>
      <c r="C156" s="17"/>
      <c r="D156" s="18"/>
      <c r="E156" s="18"/>
      <c r="F156" s="19">
        <f>IF(AND(D156="",E156=""),"",StartBal+SUM($D$6:D156)-SUM($E$6:E156))</f>
        <v>0</v>
      </c>
    </row>
    <row r="157" spans="1:6">
      <c r="A157" s="15"/>
      <c r="B157" s="16"/>
      <c r="C157" s="17"/>
      <c r="D157" s="18"/>
      <c r="E157" s="18"/>
      <c r="F157" s="19">
        <f>IF(AND(D157="",E157=""),"",StartBal+SUM($D$6:D157)-SUM($E$6:E157))</f>
        <v>0</v>
      </c>
    </row>
    <row r="158" spans="1:6">
      <c r="A158" s="15"/>
      <c r="B158" s="16"/>
      <c r="C158" s="17"/>
      <c r="D158" s="18"/>
      <c r="E158" s="18"/>
      <c r="F158" s="19">
        <f>IF(AND(D158="",E158=""),"",StartBal+SUM($D$6:D158)-SUM($E$6:E158))</f>
        <v>0</v>
      </c>
    </row>
    <row r="159" spans="1:6">
      <c r="A159" s="15"/>
      <c r="B159" s="16"/>
      <c r="C159" s="17"/>
      <c r="D159" s="18"/>
      <c r="E159" s="18"/>
      <c r="F159" s="19">
        <f>IF(AND(D159="",E159=""),"",StartBal+SUM($D$6:D159)-SUM($E$6:E159))</f>
        <v>0</v>
      </c>
    </row>
    <row r="160" spans="1:6">
      <c r="A160" s="15"/>
      <c r="B160" s="16"/>
      <c r="C160" s="17"/>
      <c r="D160" s="18"/>
      <c r="E160" s="18"/>
      <c r="F160" s="19">
        <f>IF(AND(D160="",E160=""),"",StartBal+SUM($D$6:D160)-SUM($E$6:E160))</f>
        <v>0</v>
      </c>
    </row>
    <row r="161" spans="1:6">
      <c r="A161" s="15"/>
      <c r="B161" s="16"/>
      <c r="C161" s="17"/>
      <c r="D161" s="18"/>
      <c r="E161" s="18"/>
      <c r="F161" s="19">
        <f>IF(AND(D161="",E161=""),"",StartBal+SUM($D$6:D161)-SUM($E$6:E161))</f>
        <v>0</v>
      </c>
    </row>
    <row r="162" spans="1:6">
      <c r="A162" s="15"/>
      <c r="B162" s="16"/>
      <c r="C162" s="17"/>
      <c r="D162" s="18"/>
      <c r="E162" s="18"/>
      <c r="F162" s="19">
        <f>IF(AND(D162="",E162=""),"",StartBal+SUM($D$6:D162)-SUM($E$6:E162))</f>
        <v>0</v>
      </c>
    </row>
    <row r="163" spans="1:6">
      <c r="A163" s="15"/>
      <c r="B163" s="16"/>
      <c r="C163" s="17"/>
      <c r="D163" s="18"/>
      <c r="E163" s="18"/>
      <c r="F163" s="19">
        <f>IF(AND(D163="",E163=""),"",StartBal+SUM($D$6:D163)-SUM($E$6:E163))</f>
        <v>0</v>
      </c>
    </row>
    <row r="164" spans="1:6">
      <c r="A164" s="15"/>
      <c r="B164" s="16"/>
      <c r="C164" s="17"/>
      <c r="D164" s="18"/>
      <c r="E164" s="18"/>
      <c r="F164" s="19">
        <f>IF(AND(D164="",E164=""),"",StartBal+SUM($D$6:D164)-SUM($E$6:E164))</f>
        <v>0</v>
      </c>
    </row>
    <row r="165" spans="1:6">
      <c r="A165" s="15"/>
      <c r="B165" s="16"/>
      <c r="C165" s="17"/>
      <c r="D165" s="18"/>
      <c r="E165" s="18"/>
      <c r="F165" s="19">
        <f>IF(AND(D165="",E165=""),"",StartBal+SUM($D$6:D165)-SUM($E$6:E165))</f>
        <v>0</v>
      </c>
    </row>
    <row r="166" spans="1:6">
      <c r="A166" s="15"/>
      <c r="B166" s="16"/>
      <c r="C166" s="17"/>
      <c r="D166" s="18"/>
      <c r="E166" s="18"/>
      <c r="F166" s="19">
        <f>IF(AND(D166="",E166=""),"",StartBal+SUM($D$6:D166)-SUM($E$6:E166))</f>
        <v>0</v>
      </c>
    </row>
    <row r="167" spans="1:6">
      <c r="A167" s="15"/>
      <c r="B167" s="16"/>
      <c r="C167" s="17"/>
      <c r="D167" s="18"/>
      <c r="E167" s="18"/>
      <c r="F167" s="19">
        <f>IF(AND(D167="",E167=""),"",StartBal+SUM($D$6:D167)-SUM($E$6:E167))</f>
        <v>0</v>
      </c>
    </row>
    <row r="168" spans="1:6">
      <c r="A168" s="15"/>
      <c r="B168" s="16"/>
      <c r="C168" s="17"/>
      <c r="D168" s="18"/>
      <c r="E168" s="18"/>
      <c r="F168" s="19">
        <f>IF(AND(D168="",E168=""),"",StartBal+SUM($D$6:D168)-SUM($E$6:E168))</f>
        <v>0</v>
      </c>
    </row>
    <row r="169" spans="1:6">
      <c r="A169" s="15"/>
      <c r="B169" s="16"/>
      <c r="C169" s="17"/>
      <c r="D169" s="18"/>
      <c r="E169" s="18"/>
      <c r="F169" s="19">
        <f>IF(AND(D169="",E169=""),"",StartBal+SUM($D$6:D169)-SUM($E$6:E169))</f>
        <v>0</v>
      </c>
    </row>
    <row r="170" spans="1:6">
      <c r="A170" s="15"/>
      <c r="B170" s="16"/>
      <c r="C170" s="17"/>
      <c r="D170" s="18"/>
      <c r="E170" s="18"/>
      <c r="F170" s="19">
        <f>IF(AND(D170="",E170=""),"",StartBal+SUM($D$6:D170)-SUM($E$6:E170))</f>
        <v>0</v>
      </c>
    </row>
    <row r="171" spans="1:6">
      <c r="A171" s="15"/>
      <c r="B171" s="16"/>
      <c r="C171" s="17"/>
      <c r="D171" s="18"/>
      <c r="E171" s="18"/>
      <c r="F171" s="19">
        <f>IF(AND(D171="",E171=""),"",StartBal+SUM($D$6:D171)-SUM($E$6:E171))</f>
        <v>0</v>
      </c>
    </row>
    <row r="172" spans="1:6">
      <c r="A172" s="15"/>
      <c r="B172" s="16"/>
      <c r="C172" s="17"/>
      <c r="D172" s="18"/>
      <c r="E172" s="18"/>
      <c r="F172" s="19">
        <f>IF(AND(D172="",E172=""),"",StartBal+SUM($D$6:D172)-SUM($E$6:E172))</f>
        <v>0</v>
      </c>
    </row>
    <row r="173" spans="1:6">
      <c r="A173" s="15"/>
      <c r="B173" s="16"/>
      <c r="C173" s="17"/>
      <c r="D173" s="18"/>
      <c r="E173" s="18"/>
      <c r="F173" s="19">
        <f>IF(AND(D173="",E173=""),"",StartBal+SUM($D$6:D173)-SUM($E$6:E173))</f>
        <v>0</v>
      </c>
    </row>
    <row r="174" spans="1:6">
      <c r="A174" s="15"/>
      <c r="B174" s="16"/>
      <c r="C174" s="17"/>
      <c r="D174" s="18"/>
      <c r="E174" s="18"/>
      <c r="F174" s="19">
        <f>IF(AND(D174="",E174=""),"",StartBal+SUM($D$6:D174)-SUM($E$6:E174))</f>
        <v>0</v>
      </c>
    </row>
    <row r="175" spans="1:6">
      <c r="A175" s="15"/>
      <c r="B175" s="16"/>
      <c r="C175" s="17"/>
      <c r="D175" s="18"/>
      <c r="E175" s="18"/>
      <c r="F175" s="19">
        <f>IF(AND(D175="",E175=""),"",StartBal+SUM($D$6:D175)-SUM($E$6:E175))</f>
        <v>0</v>
      </c>
    </row>
    <row r="176" spans="1:6">
      <c r="A176" s="15"/>
      <c r="B176" s="16"/>
      <c r="C176" s="17"/>
      <c r="D176" s="18"/>
      <c r="E176" s="18"/>
      <c r="F176" s="19">
        <f>IF(AND(D176="",E176=""),"",StartBal+SUM($D$6:D176)-SUM($E$6:E176))</f>
        <v>0</v>
      </c>
    </row>
    <row r="177" spans="1:6">
      <c r="A177" s="15"/>
      <c r="B177" s="16"/>
      <c r="C177" s="17"/>
      <c r="D177" s="18"/>
      <c r="E177" s="18"/>
      <c r="F177" s="19">
        <f>IF(AND(D177="",E177=""),"",StartBal+SUM($D$6:D177)-SUM($E$6:E177))</f>
        <v>0</v>
      </c>
    </row>
    <row r="178" spans="1:6">
      <c r="A178" s="15"/>
      <c r="B178" s="16"/>
      <c r="C178" s="17"/>
      <c r="D178" s="18"/>
      <c r="E178" s="18"/>
      <c r="F178" s="19">
        <f>IF(AND(D178="",E178=""),"",StartBal+SUM($D$6:D178)-SUM($E$6:E178))</f>
        <v>0</v>
      </c>
    </row>
    <row r="179" spans="1:6">
      <c r="A179" s="15"/>
      <c r="B179" s="16"/>
      <c r="C179" s="17"/>
      <c r="D179" s="18"/>
      <c r="E179" s="18"/>
      <c r="F179" s="19">
        <f>IF(AND(D179="",E179=""),"",StartBal+SUM($D$6:D179)-SUM($E$6:E179))</f>
        <v>0</v>
      </c>
    </row>
    <row r="180" spans="1:6">
      <c r="A180" s="15"/>
      <c r="B180" s="16"/>
      <c r="C180" s="17"/>
      <c r="D180" s="18"/>
      <c r="E180" s="18"/>
      <c r="F180" s="19">
        <f>IF(AND(D180="",E180=""),"",StartBal+SUM($D$6:D180)-SUM($E$6:E180))</f>
        <v>0</v>
      </c>
    </row>
    <row r="181" spans="1:6">
      <c r="A181" s="15"/>
      <c r="B181" s="16"/>
      <c r="C181" s="17"/>
      <c r="D181" s="18"/>
      <c r="E181" s="18"/>
      <c r="F181" s="19">
        <f>IF(AND(D181="",E181=""),"",StartBal+SUM($D$6:D181)-SUM($E$6:E181))</f>
        <v>0</v>
      </c>
    </row>
    <row r="182" spans="1:6">
      <c r="A182" s="15"/>
      <c r="B182" s="16"/>
      <c r="C182" s="17"/>
      <c r="D182" s="18"/>
      <c r="E182" s="18"/>
      <c r="F182" s="19">
        <f>IF(AND(D182="",E182=""),"",StartBal+SUM($D$6:D182)-SUM($E$6:E182))</f>
        <v>0</v>
      </c>
    </row>
    <row r="183" spans="1:6">
      <c r="A183" s="15"/>
      <c r="B183" s="16"/>
      <c r="C183" s="17"/>
      <c r="D183" s="18"/>
      <c r="E183" s="18"/>
      <c r="F183" s="19">
        <f>IF(AND(D183="",E183=""),"",StartBal+SUM($D$6:D183)-SUM($E$6:E183))</f>
        <v>0</v>
      </c>
    </row>
    <row r="184" spans="1:6">
      <c r="A184" s="15"/>
      <c r="B184" s="16"/>
      <c r="C184" s="17"/>
      <c r="D184" s="18"/>
      <c r="E184" s="18"/>
      <c r="F184" s="19">
        <f>IF(AND(D184="",E184=""),"",StartBal+SUM($D$6:D184)-SUM($E$6:E184))</f>
        <v>0</v>
      </c>
    </row>
    <row r="185" spans="1:6">
      <c r="A185" s="15"/>
      <c r="B185" s="16"/>
      <c r="C185" s="17"/>
      <c r="D185" s="18"/>
      <c r="E185" s="18"/>
      <c r="F185" s="19">
        <f>IF(AND(D185="",E185=""),"",StartBal+SUM($D$6:D185)-SUM($E$6:E185))</f>
        <v>0</v>
      </c>
    </row>
    <row r="186" spans="1:6">
      <c r="A186" s="15"/>
      <c r="B186" s="16"/>
      <c r="C186" s="17"/>
      <c r="D186" s="18"/>
      <c r="E186" s="18"/>
      <c r="F186" s="19">
        <f>IF(AND(D186="",E186=""),"",StartBal+SUM($D$6:D186)-SUM($E$6:E186))</f>
        <v>0</v>
      </c>
    </row>
    <row r="187" spans="1:6">
      <c r="A187" s="15"/>
      <c r="B187" s="16"/>
      <c r="C187" s="17"/>
      <c r="D187" s="18"/>
      <c r="E187" s="18"/>
      <c r="F187" s="19">
        <f>IF(AND(D187="",E187=""),"",StartBal+SUM($D$6:D187)-SUM($E$6:E187))</f>
        <v>0</v>
      </c>
    </row>
    <row r="188" spans="1:6">
      <c r="A188" s="15"/>
      <c r="B188" s="16"/>
      <c r="C188" s="17"/>
      <c r="D188" s="18"/>
      <c r="E188" s="18"/>
      <c r="F188" s="19">
        <f>IF(AND(D188="",E188=""),"",StartBal+SUM($D$6:D188)-SUM($E$6:E188))</f>
        <v>0</v>
      </c>
    </row>
    <row r="189" spans="1:6">
      <c r="A189" s="15"/>
      <c r="B189" s="16"/>
      <c r="C189" s="17"/>
      <c r="D189" s="18"/>
      <c r="E189" s="18"/>
      <c r="F189" s="19">
        <f>IF(AND(D189="",E189=""),"",StartBal+SUM($D$6:D189)-SUM($E$6:E189))</f>
        <v>0</v>
      </c>
    </row>
    <row r="190" spans="1:6">
      <c r="A190" s="15"/>
      <c r="B190" s="16"/>
      <c r="C190" s="17"/>
      <c r="D190" s="18"/>
      <c r="E190" s="18"/>
      <c r="F190" s="19">
        <f>IF(AND(D190="",E190=""),"",StartBal+SUM($D$6:D190)-SUM($E$6:E190))</f>
        <v>0</v>
      </c>
    </row>
    <row r="191" spans="1:6">
      <c r="A191" s="15"/>
      <c r="B191" s="16"/>
      <c r="C191" s="17"/>
      <c r="D191" s="18"/>
      <c r="E191" s="18"/>
      <c r="F191" s="19">
        <f>IF(AND(D191="",E191=""),"",StartBal+SUM($D$6:D191)-SUM($E$6:E191))</f>
        <v>0</v>
      </c>
    </row>
    <row r="192" spans="1:6">
      <c r="A192" s="15"/>
      <c r="B192" s="16"/>
      <c r="C192" s="17"/>
      <c r="D192" s="18"/>
      <c r="E192" s="18"/>
      <c r="F192" s="19">
        <f>IF(AND(D192="",E192=""),"",StartBal+SUM($D$6:D192)-SUM($E$6:E192))</f>
        <v>0</v>
      </c>
    </row>
    <row r="193" spans="1:6">
      <c r="A193" s="15"/>
      <c r="B193" s="16"/>
      <c r="C193" s="17"/>
      <c r="D193" s="18"/>
      <c r="E193" s="18"/>
      <c r="F193" s="19">
        <f>IF(AND(D193="",E193=""),"",StartBal+SUM($D$6:D193)-SUM($E$6:E193))</f>
        <v>0</v>
      </c>
    </row>
    <row r="194" spans="1:6">
      <c r="A194" s="15"/>
      <c r="B194" s="16"/>
      <c r="C194" s="17"/>
      <c r="D194" s="18"/>
      <c r="E194" s="18"/>
      <c r="F194" s="19">
        <f>IF(AND(D194="",E194=""),"",StartBal+SUM($D$6:D194)-SUM($E$6:E194))</f>
        <v>0</v>
      </c>
    </row>
    <row r="195" spans="1:6">
      <c r="A195" s="15"/>
      <c r="B195" s="16"/>
      <c r="C195" s="17"/>
      <c r="D195" s="18"/>
      <c r="E195" s="18"/>
      <c r="F195" s="19">
        <f>IF(AND(D195="",E195=""),"",StartBal+SUM($D$6:D195)-SUM($E$6:E195))</f>
        <v>0</v>
      </c>
    </row>
    <row r="196" spans="1:6">
      <c r="A196" s="15"/>
      <c r="B196" s="16"/>
      <c r="C196" s="17"/>
      <c r="D196" s="18"/>
      <c r="E196" s="18"/>
      <c r="F196" s="19">
        <f>IF(AND(D196="",E196=""),"",StartBal+SUM($D$6:D196)-SUM($E$6:E196))</f>
        <v>0</v>
      </c>
    </row>
    <row r="197" spans="1:6">
      <c r="A197" s="15"/>
      <c r="B197" s="16"/>
      <c r="C197" s="17"/>
      <c r="D197" s="18"/>
      <c r="E197" s="18"/>
      <c r="F197" s="19">
        <f>IF(AND(D197="",E197=""),"",StartBal+SUM($D$6:D197)-SUM($E$6:E197))</f>
        <v>0</v>
      </c>
    </row>
    <row r="198" spans="1:6">
      <c r="A198" s="15"/>
      <c r="B198" s="16"/>
      <c r="C198" s="17"/>
      <c r="D198" s="18"/>
      <c r="E198" s="18"/>
      <c r="F198" s="19">
        <f>IF(AND(D198="",E198=""),"",StartBal+SUM($D$6:D198)-SUM($E$6:E198))</f>
        <v>0</v>
      </c>
    </row>
    <row r="199" spans="1:6">
      <c r="A199" s="15"/>
      <c r="B199" s="16"/>
      <c r="C199" s="17"/>
      <c r="D199" s="18"/>
      <c r="E199" s="18"/>
      <c r="F199" s="19">
        <f>IF(AND(D199="",E199=""),"",StartBal+SUM($D$6:D199)-SUM($E$6:E199))</f>
        <v>0</v>
      </c>
    </row>
    <row r="200" spans="1:6">
      <c r="A200" s="15"/>
      <c r="B200" s="16"/>
      <c r="C200" s="17"/>
      <c r="D200" s="18"/>
      <c r="E200" s="18"/>
      <c r="F200" s="19">
        <f>IF(AND(D200="",E200=""),"",StartBal+SUM($D$6:D200)-SUM($E$6:E200))</f>
        <v>0</v>
      </c>
    </row>
    <row r="201" spans="1:6">
      <c r="A201" s="15"/>
      <c r="B201" s="16"/>
      <c r="C201" s="17"/>
      <c r="D201" s="18"/>
      <c r="E201" s="18"/>
      <c r="F201" s="19">
        <f>IF(AND(D201="",E201=""),"",StartBal+SUM($D$6:D201)-SUM($E$6:E201))</f>
        <v>0</v>
      </c>
    </row>
    <row r="202" spans="1:6">
      <c r="A202" s="15"/>
      <c r="B202" s="16"/>
      <c r="C202" s="17"/>
      <c r="D202" s="18"/>
      <c r="E202" s="18"/>
      <c r="F202" s="19">
        <f>IF(AND(D202="",E202=""),"",StartBal+SUM($D$6:D202)-SUM($E$6:E202))</f>
        <v>0</v>
      </c>
    </row>
    <row r="203" spans="1:6">
      <c r="A203" s="15"/>
      <c r="B203" s="16"/>
      <c r="C203" s="17"/>
      <c r="D203" s="18"/>
      <c r="E203" s="18"/>
      <c r="F203" s="19">
        <f>IF(AND(D203="",E203=""),"",StartBal+SUM($D$6:D203)-SUM($E$6:E203))</f>
        <v>0</v>
      </c>
    </row>
    <row r="204" spans="1:6">
      <c r="A204" s="15"/>
      <c r="B204" s="16"/>
      <c r="C204" s="17"/>
      <c r="D204" s="18"/>
      <c r="E204" s="18"/>
      <c r="F204" s="19">
        <f>IF(AND(D204="",E204=""),"",StartBal+SUM($D$6:D204)-SUM($E$6:E204))</f>
        <v>0</v>
      </c>
    </row>
    <row r="205" spans="1:6">
      <c r="A205" s="15"/>
      <c r="B205" s="16"/>
      <c r="C205" s="17"/>
      <c r="D205" s="18"/>
      <c r="E205" s="18"/>
      <c r="F205" s="19">
        <f>IF(AND(D205="",E205=""),"",StartBal+SUM($D$6:D205)-SUM($E$6:E205))</f>
        <v>0</v>
      </c>
    </row>
    <row r="206" spans="1:6">
      <c r="A206" s="15"/>
      <c r="B206" s="16"/>
      <c r="C206" s="17"/>
      <c r="D206" s="18"/>
      <c r="E206" s="18"/>
      <c r="F206" s="19">
        <f>IF(AND(D206="",E206=""),"",StartBal+SUM($D$6:D206)-SUM($E$6:E206))</f>
        <v>0</v>
      </c>
    </row>
    <row r="207" spans="1:6">
      <c r="A207" s="15"/>
      <c r="B207" s="16"/>
      <c r="C207" s="17"/>
      <c r="D207" s="18"/>
      <c r="E207" s="18"/>
      <c r="F207" s="19">
        <f>IF(AND(D207="",E207=""),"",StartBal+SUM($D$6:D207)-SUM($E$6:E207))</f>
        <v>0</v>
      </c>
    </row>
    <row r="208" spans="1:6">
      <c r="A208" s="15"/>
      <c r="B208" s="16"/>
      <c r="C208" s="17"/>
      <c r="D208" s="18"/>
      <c r="E208" s="18"/>
      <c r="F208" s="19">
        <f>IF(AND(D208="",E208=""),"",StartBal+SUM($D$6:D208)-SUM($E$6:E208))</f>
        <v>0</v>
      </c>
    </row>
    <row r="209" spans="1:6">
      <c r="A209" s="15"/>
      <c r="B209" s="16"/>
      <c r="C209" s="17"/>
      <c r="D209" s="18"/>
      <c r="E209" s="18"/>
      <c r="F209" s="19">
        <f>IF(AND(D209="",E209=""),"",StartBal+SUM($D$6:D209)-SUM($E$6:E209))</f>
        <v>0</v>
      </c>
    </row>
    <row r="210" spans="1:6">
      <c r="A210" s="15"/>
      <c r="B210" s="16"/>
      <c r="C210" s="17"/>
      <c r="D210" s="18"/>
      <c r="E210" s="18"/>
      <c r="F210" s="19">
        <f>IF(AND(D210="",E210=""),"",StartBal+SUM($D$6:D210)-SUM($E$6:E210))</f>
        <v>0</v>
      </c>
    </row>
    <row r="211" spans="1:6">
      <c r="A211" s="15"/>
      <c r="B211" s="16"/>
      <c r="C211" s="17"/>
      <c r="D211" s="18"/>
      <c r="E211" s="18"/>
      <c r="F211" s="19">
        <f>IF(AND(D211="",E211=""),"",StartBal+SUM($D$6:D211)-SUM($E$6:E211))</f>
        <v>0</v>
      </c>
    </row>
    <row r="212" spans="1:6">
      <c r="A212" s="15"/>
      <c r="B212" s="16"/>
      <c r="C212" s="17"/>
      <c r="D212" s="18"/>
      <c r="E212" s="18"/>
      <c r="F212" s="19">
        <f>IF(AND(D212="",E212=""),"",StartBal+SUM($D$6:D212)-SUM($E$6:E212))</f>
        <v>0</v>
      </c>
    </row>
    <row r="213" spans="1:6">
      <c r="A213" s="15"/>
      <c r="B213" s="16"/>
      <c r="C213" s="17"/>
      <c r="D213" s="18"/>
      <c r="E213" s="18"/>
      <c r="F213" s="19">
        <f>IF(AND(D213="",E213=""),"",StartBal+SUM($D$6:D213)-SUM($E$6:E213))</f>
        <v>0</v>
      </c>
    </row>
    <row r="214" spans="1:6">
      <c r="A214" s="15"/>
      <c r="B214" s="16"/>
      <c r="C214" s="17"/>
      <c r="D214" s="18"/>
      <c r="E214" s="18"/>
      <c r="F214" s="19">
        <f>IF(AND(D214="",E214=""),"",StartBal+SUM($D$6:D214)-SUM($E$6:E214))</f>
        <v>0</v>
      </c>
    </row>
    <row r="215" spans="1:6">
      <c r="A215" s="15"/>
      <c r="B215" s="16"/>
      <c r="C215" s="17"/>
      <c r="D215" s="18"/>
      <c r="E215" s="18"/>
      <c r="F215" s="19">
        <f>IF(AND(D215="",E215=""),"",StartBal+SUM($D$6:D215)-SUM($E$6:E215))</f>
        <v>0</v>
      </c>
    </row>
    <row r="216" spans="1:6">
      <c r="A216" s="15"/>
      <c r="B216" s="16"/>
      <c r="C216" s="17"/>
      <c r="D216" s="18"/>
      <c r="E216" s="18"/>
      <c r="F216" s="19">
        <f>IF(AND(D216="",E216=""),"",StartBal+SUM($D$6:D216)-SUM($E$6:E216))</f>
        <v>0</v>
      </c>
    </row>
    <row r="217" spans="1:6">
      <c r="A217" s="15"/>
      <c r="B217" s="16"/>
      <c r="C217" s="17"/>
      <c r="D217" s="18"/>
      <c r="E217" s="18"/>
      <c r="F217" s="19">
        <f>IF(AND(D217="",E217=""),"",StartBal+SUM($D$6:D217)-SUM($E$6:E217))</f>
        <v>0</v>
      </c>
    </row>
    <row r="218" spans="1:6">
      <c r="A218" s="15"/>
      <c r="B218" s="16"/>
      <c r="C218" s="17"/>
      <c r="D218" s="18"/>
      <c r="E218" s="18"/>
      <c r="F218" s="19">
        <f>IF(AND(D218="",E218=""),"",StartBal+SUM($D$6:D218)-SUM($E$6:E218))</f>
        <v>0</v>
      </c>
    </row>
    <row r="219" spans="1:6">
      <c r="A219" s="15"/>
      <c r="B219" s="16"/>
      <c r="C219" s="17"/>
      <c r="D219" s="18"/>
      <c r="E219" s="18"/>
      <c r="F219" s="19">
        <f>IF(AND(D219="",E219=""),"",StartBal+SUM($D$6:D219)-SUM($E$6:E219))</f>
        <v>0</v>
      </c>
    </row>
    <row r="220" spans="1:6">
      <c r="A220" s="15"/>
      <c r="B220" s="16"/>
      <c r="C220" s="17"/>
      <c r="D220" s="18"/>
      <c r="E220" s="18"/>
      <c r="F220" s="19">
        <f>IF(AND(D220="",E220=""),"",StartBal+SUM($D$6:D220)-SUM($E$6:E220))</f>
        <v>0</v>
      </c>
    </row>
    <row r="221" spans="1:6">
      <c r="A221" s="15"/>
      <c r="B221" s="16"/>
      <c r="C221" s="17"/>
      <c r="D221" s="18"/>
      <c r="E221" s="18"/>
      <c r="F221" s="19">
        <f>IF(AND(D221="",E221=""),"",StartBal+SUM($D$6:D221)-SUM($E$6:E221))</f>
        <v>0</v>
      </c>
    </row>
    <row r="222" spans="1:6">
      <c r="A222" s="15"/>
      <c r="B222" s="16"/>
      <c r="C222" s="17"/>
      <c r="D222" s="18"/>
      <c r="E222" s="18"/>
      <c r="F222" s="19">
        <f>IF(AND(D222="",E222=""),"",StartBal+SUM($D$6:D222)-SUM($E$6:E222))</f>
        <v>0</v>
      </c>
    </row>
    <row r="223" spans="1:6">
      <c r="A223" s="15"/>
      <c r="B223" s="16"/>
      <c r="C223" s="17"/>
      <c r="D223" s="18"/>
      <c r="E223" s="18"/>
      <c r="F223" s="19">
        <f>IF(AND(D223="",E223=""),"",StartBal+SUM($D$6:D223)-SUM($E$6:E223))</f>
        <v>0</v>
      </c>
    </row>
    <row r="224" spans="1:6">
      <c r="A224" s="15"/>
      <c r="B224" s="16"/>
      <c r="C224" s="17"/>
      <c r="D224" s="18"/>
      <c r="E224" s="18"/>
      <c r="F224" s="19">
        <f>IF(AND(D224="",E224=""),"",StartBal+SUM($D$6:D224)-SUM($E$6:E224))</f>
        <v>0</v>
      </c>
    </row>
    <row r="225" spans="1:6">
      <c r="A225" s="15"/>
      <c r="B225" s="16"/>
      <c r="C225" s="17"/>
      <c r="D225" s="18"/>
      <c r="E225" s="18"/>
      <c r="F225" s="19">
        <f>IF(AND(D225="",E225=""),"",StartBal+SUM($D$6:D225)-SUM($E$6:E225))</f>
        <v>0</v>
      </c>
    </row>
    <row r="226" spans="1:6">
      <c r="A226" s="15"/>
      <c r="B226" s="16"/>
      <c r="C226" s="17"/>
      <c r="D226" s="18"/>
      <c r="E226" s="18"/>
      <c r="F226" s="19">
        <f>IF(AND(D226="",E226=""),"",StartBal+SUM($D$6:D226)-SUM($E$6:E226))</f>
        <v>0</v>
      </c>
    </row>
    <row r="227" spans="1:6">
      <c r="A227" s="15"/>
      <c r="B227" s="16"/>
      <c r="C227" s="17"/>
      <c r="D227" s="18"/>
      <c r="E227" s="18"/>
      <c r="F227" s="19">
        <f>IF(AND(D227="",E227=""),"",StartBal+SUM($D$6:D227)-SUM($E$6:E227))</f>
        <v>0</v>
      </c>
    </row>
    <row r="228" spans="1:6">
      <c r="A228" s="15"/>
      <c r="B228" s="16"/>
      <c r="C228" s="17"/>
      <c r="D228" s="18"/>
      <c r="E228" s="18"/>
      <c r="F228" s="19">
        <f>IF(AND(D228="",E228=""),"",StartBal+SUM($D$6:D228)-SUM($E$6:E228))</f>
        <v>0</v>
      </c>
    </row>
    <row r="229" spans="1:6">
      <c r="A229" s="15"/>
      <c r="B229" s="16"/>
      <c r="C229" s="17"/>
      <c r="D229" s="18"/>
      <c r="E229" s="18"/>
      <c r="F229" s="19">
        <f>IF(AND(D229="",E229=""),"",StartBal+SUM($D$6:D229)-SUM($E$6:E229))</f>
        <v>0</v>
      </c>
    </row>
    <row r="230" spans="1:6">
      <c r="A230" s="15"/>
      <c r="B230" s="16"/>
      <c r="C230" s="17"/>
      <c r="D230" s="18"/>
      <c r="E230" s="18"/>
      <c r="F230" s="19">
        <f>IF(AND(D230="",E230=""),"",StartBal+SUM($D$6:D230)-SUM($E$6:E230))</f>
        <v>0</v>
      </c>
    </row>
    <row r="231" spans="1:6">
      <c r="A231" s="15"/>
      <c r="B231" s="16"/>
      <c r="C231" s="17"/>
      <c r="D231" s="18"/>
      <c r="E231" s="18"/>
      <c r="F231" s="19">
        <f>IF(AND(D231="",E231=""),"",StartBal+SUM($D$6:D231)-SUM($E$6:E231))</f>
        <v>0</v>
      </c>
    </row>
    <row r="232" spans="1:6">
      <c r="A232" s="15"/>
      <c r="B232" s="16"/>
      <c r="C232" s="17"/>
      <c r="D232" s="18"/>
      <c r="E232" s="18"/>
      <c r="F232" s="19">
        <f>IF(AND(D232="",E232=""),"",StartBal+SUM($D$6:D232)-SUM($E$6:E232))</f>
        <v>0</v>
      </c>
    </row>
    <row r="233" spans="1:6">
      <c r="A233" s="15"/>
      <c r="B233" s="16"/>
      <c r="C233" s="17"/>
      <c r="D233" s="18"/>
      <c r="E233" s="18"/>
      <c r="F233" s="19">
        <f>IF(AND(D233="",E233=""),"",StartBal+SUM($D$6:D233)-SUM($E$6:E233))</f>
        <v>0</v>
      </c>
    </row>
    <row r="234" spans="1:6">
      <c r="A234" s="15"/>
      <c r="B234" s="16"/>
      <c r="C234" s="17"/>
      <c r="D234" s="18"/>
      <c r="E234" s="18"/>
      <c r="F234" s="19">
        <f>IF(AND(D234="",E234=""),"",StartBal+SUM($D$6:D234)-SUM($E$6:E234))</f>
        <v>0</v>
      </c>
    </row>
    <row r="235" spans="1:6">
      <c r="A235" s="15"/>
      <c r="B235" s="16"/>
      <c r="C235" s="17"/>
      <c r="D235" s="18"/>
      <c r="E235" s="18"/>
      <c r="F235" s="19">
        <f>IF(AND(D235="",E235=""),"",StartBal+SUM($D$6:D235)-SUM($E$6:E235))</f>
        <v>0</v>
      </c>
    </row>
    <row r="236" spans="1:6">
      <c r="A236" s="15"/>
      <c r="B236" s="16"/>
      <c r="C236" s="17"/>
      <c r="D236" s="18"/>
      <c r="E236" s="18"/>
      <c r="F236" s="19">
        <f>IF(AND(D236="",E236=""),"",StartBal+SUM($D$6:D236)-SUM($E$6:E236))</f>
        <v>0</v>
      </c>
    </row>
    <row r="237" spans="1:6">
      <c r="A237" s="15"/>
      <c r="B237" s="16"/>
      <c r="C237" s="17"/>
      <c r="D237" s="18"/>
      <c r="E237" s="18"/>
      <c r="F237" s="19">
        <f>IF(AND(D237="",E237=""),"",StartBal+SUM($D$6:D237)-SUM($E$6:E237))</f>
        <v>0</v>
      </c>
    </row>
    <row r="238" spans="1:6">
      <c r="A238" s="15"/>
      <c r="B238" s="16"/>
      <c r="C238" s="17"/>
      <c r="D238" s="18"/>
      <c r="E238" s="18"/>
      <c r="F238" s="19">
        <f>IF(AND(D238="",E238=""),"",StartBal+SUM($D$6:D238)-SUM($E$6:E238))</f>
        <v>0</v>
      </c>
    </row>
    <row r="239" spans="1:6">
      <c r="A239" s="15"/>
      <c r="B239" s="16"/>
      <c r="C239" s="17"/>
      <c r="D239" s="18"/>
      <c r="E239" s="18"/>
      <c r="F239" s="19">
        <f>IF(AND(D239="",E239=""),"",StartBal+SUM($D$6:D239)-SUM($E$6:E239))</f>
        <v>0</v>
      </c>
    </row>
    <row r="240" spans="1:6">
      <c r="A240" s="15"/>
      <c r="B240" s="16"/>
      <c r="C240" s="17"/>
      <c r="D240" s="18"/>
      <c r="E240" s="18"/>
      <c r="F240" s="19">
        <f>IF(AND(D240="",E240=""),"",StartBal+SUM($D$6:D240)-SUM($E$6:E240))</f>
        <v>0</v>
      </c>
    </row>
    <row r="241" spans="1:6">
      <c r="A241" s="15"/>
      <c r="B241" s="16"/>
      <c r="C241" s="17"/>
      <c r="D241" s="18"/>
      <c r="E241" s="18"/>
      <c r="F241" s="19">
        <f>IF(AND(D241="",E241=""),"",StartBal+SUM($D$6:D241)-SUM($E$6:E241))</f>
        <v>0</v>
      </c>
    </row>
    <row r="242" spans="1:6">
      <c r="A242" s="15"/>
      <c r="B242" s="16"/>
      <c r="C242" s="17"/>
      <c r="D242" s="18"/>
      <c r="E242" s="18"/>
      <c r="F242" s="19">
        <f>IF(AND(D242="",E242=""),"",StartBal+SUM($D$6:D242)-SUM($E$6:E242))</f>
        <v>0</v>
      </c>
    </row>
    <row r="243" spans="1:6">
      <c r="A243" s="15"/>
      <c r="B243" s="16"/>
      <c r="C243" s="17"/>
      <c r="D243" s="18"/>
      <c r="E243" s="18"/>
      <c r="F243" s="19">
        <f>IF(AND(D243="",E243=""),"",StartBal+SUM($D$6:D243)-SUM($E$6:E243))</f>
        <v>0</v>
      </c>
    </row>
    <row r="244" spans="1:6">
      <c r="A244" s="15"/>
      <c r="B244" s="16"/>
      <c r="C244" s="17"/>
      <c r="D244" s="18"/>
      <c r="E244" s="18"/>
      <c r="F244" s="19">
        <f>IF(AND(D244="",E244=""),"",StartBal+SUM($D$6:D244)-SUM($E$6:E244))</f>
        <v>0</v>
      </c>
    </row>
    <row r="245" spans="1:6">
      <c r="A245" s="15"/>
      <c r="B245" s="16"/>
      <c r="C245" s="17"/>
      <c r="D245" s="18"/>
      <c r="E245" s="18"/>
      <c r="F245" s="19">
        <f>IF(AND(D245="",E245=""),"",StartBal+SUM($D$6:D245)-SUM($E$6:E245))</f>
        <v>0</v>
      </c>
    </row>
    <row r="246" spans="1:6">
      <c r="A246" s="15"/>
      <c r="B246" s="16"/>
      <c r="C246" s="17"/>
      <c r="D246" s="18"/>
      <c r="E246" s="18"/>
      <c r="F246" s="19">
        <f>IF(AND(D246="",E246=""),"",StartBal+SUM($D$6:D246)-SUM($E$6:E246))</f>
        <v>0</v>
      </c>
    </row>
    <row r="247" spans="1:6">
      <c r="A247" s="15"/>
      <c r="B247" s="16"/>
      <c r="C247" s="17"/>
      <c r="D247" s="18"/>
      <c r="E247" s="18"/>
      <c r="F247" s="19">
        <f>IF(AND(D247="",E247=""),"",StartBal+SUM($D$6:D247)-SUM($E$6:E247))</f>
        <v>0</v>
      </c>
    </row>
    <row r="248" spans="1:6">
      <c r="A248" s="15"/>
      <c r="B248" s="16"/>
      <c r="C248" s="17"/>
      <c r="D248" s="18"/>
      <c r="E248" s="18"/>
      <c r="F248" s="19">
        <f>IF(AND(D248="",E248=""),"",StartBal+SUM($D$6:D248)-SUM($E$6:E248))</f>
        <v>0</v>
      </c>
    </row>
    <row r="249" spans="1:6">
      <c r="A249" s="15"/>
      <c r="B249" s="16"/>
      <c r="C249" s="17"/>
      <c r="D249" s="18"/>
      <c r="E249" s="18"/>
      <c r="F249" s="19">
        <f>IF(AND(D249="",E249=""),"",StartBal+SUM($D$6:D249)-SUM($E$6:E249))</f>
        <v>0</v>
      </c>
    </row>
    <row r="250" spans="1:6">
      <c r="A250" s="15"/>
      <c r="B250" s="16"/>
      <c r="C250" s="17"/>
      <c r="D250" s="18"/>
      <c r="E250" s="18"/>
      <c r="F250" s="19">
        <f>IF(AND(D250="",E250=""),"",StartBal+SUM($D$6:D250)-SUM($E$6:E250))</f>
        <v>0</v>
      </c>
    </row>
    <row r="251" spans="1:6">
      <c r="A251" s="15"/>
      <c r="B251" s="16"/>
      <c r="C251" s="17"/>
      <c r="D251" s="18"/>
      <c r="E251" s="18"/>
      <c r="F251" s="19">
        <f>IF(AND(D251="",E251=""),"",StartBal+SUM($D$6:D251)-SUM($E$6:E251))</f>
        <v>0</v>
      </c>
    </row>
    <row r="252" spans="1:6">
      <c r="A252" s="15"/>
      <c r="B252" s="16"/>
      <c r="C252" s="17"/>
      <c r="D252" s="18"/>
      <c r="E252" s="18"/>
      <c r="F252" s="19">
        <f>IF(AND(D252="",E252=""),"",StartBal+SUM($D$6:D252)-SUM($E$6:E252))</f>
        <v>0</v>
      </c>
    </row>
    <row r="253" spans="1:6">
      <c r="A253" s="15"/>
      <c r="B253" s="16"/>
      <c r="C253" s="17"/>
      <c r="D253" s="18"/>
      <c r="E253" s="18"/>
      <c r="F253" s="19">
        <f>IF(AND(D253="",E253=""),"",StartBal+SUM($D$6:D253)-SUM($E$6:E253))</f>
        <v>0</v>
      </c>
    </row>
    <row r="254" spans="1:6">
      <c r="A254" s="15"/>
      <c r="B254" s="16"/>
      <c r="C254" s="17"/>
      <c r="D254" s="18"/>
      <c r="E254" s="18"/>
      <c r="F254" s="19">
        <f>IF(AND(D254="",E254=""),"",StartBal+SUM($D$6:D254)-SUM($E$6:E254))</f>
        <v>0</v>
      </c>
    </row>
    <row r="255" spans="1:6">
      <c r="A255" s="15"/>
      <c r="B255" s="16"/>
      <c r="C255" s="17"/>
      <c r="D255" s="18"/>
      <c r="E255" s="18"/>
      <c r="F255" s="19">
        <f>IF(AND(D255="",E255=""),"",StartBal+SUM($D$6:D255)-SUM($E$6:E255))</f>
        <v>0</v>
      </c>
    </row>
    <row r="256" spans="1:6">
      <c r="A256" s="15"/>
      <c r="B256" s="16"/>
      <c r="C256" s="17"/>
      <c r="D256" s="18"/>
      <c r="E256" s="18"/>
      <c r="F256" s="19">
        <f>IF(AND(D256="",E256=""),"",StartBal+SUM($D$6:D256)-SUM($E$6:E256))</f>
        <v>0</v>
      </c>
    </row>
    <row r="257" spans="1:6">
      <c r="A257" s="15"/>
      <c r="B257" s="16"/>
      <c r="C257" s="17"/>
      <c r="D257" s="18"/>
      <c r="E257" s="18"/>
      <c r="F257" s="19">
        <f>IF(AND(D257="",E257=""),"",StartBal+SUM($D$6:D257)-SUM($E$6:E257))</f>
        <v>0</v>
      </c>
    </row>
    <row r="258" spans="1:6">
      <c r="A258" s="15"/>
      <c r="B258" s="16"/>
      <c r="C258" s="17"/>
      <c r="D258" s="18"/>
      <c r="E258" s="18"/>
      <c r="F258" s="19">
        <f>IF(AND(D258="",E258=""),"",StartBal+SUM($D$6:D258)-SUM($E$6:E258))</f>
        <v>0</v>
      </c>
    </row>
    <row r="259" spans="1:6">
      <c r="A259" s="15"/>
      <c r="B259" s="16"/>
      <c r="C259" s="17"/>
      <c r="D259" s="18"/>
      <c r="E259" s="18"/>
      <c r="F259" s="19">
        <f>IF(AND(D259="",E259=""),"",StartBal+SUM($D$6:D259)-SUM($E$6:E259))</f>
        <v>0</v>
      </c>
    </row>
    <row r="260" spans="1:6">
      <c r="A260" s="15"/>
      <c r="B260" s="16"/>
      <c r="C260" s="17"/>
      <c r="D260" s="18"/>
      <c r="E260" s="18"/>
      <c r="F260" s="19">
        <f>IF(AND(D260="",E260=""),"",StartBal+SUM($D$6:D260)-SUM($E$6:E260))</f>
        <v>0</v>
      </c>
    </row>
    <row r="261" spans="1:6">
      <c r="A261" s="15"/>
      <c r="B261" s="16"/>
      <c r="C261" s="17"/>
      <c r="D261" s="18"/>
      <c r="E261" s="18"/>
      <c r="F261" s="19">
        <f>IF(AND(D261="",E261=""),"",StartBal+SUM($D$6:D261)-SUM($E$6:E261))</f>
        <v>0</v>
      </c>
    </row>
    <row r="262" spans="1:6">
      <c r="A262" s="15"/>
      <c r="B262" s="16"/>
      <c r="C262" s="17"/>
      <c r="D262" s="18"/>
      <c r="E262" s="18"/>
      <c r="F262" s="19">
        <f>IF(AND(D262="",E262=""),"",StartBal+SUM($D$6:D262)-SUM($E$6:E262))</f>
        <v>0</v>
      </c>
    </row>
    <row r="263" spans="1:6">
      <c r="A263" s="15"/>
      <c r="B263" s="16"/>
      <c r="C263" s="17"/>
      <c r="D263" s="18"/>
      <c r="E263" s="18"/>
      <c r="F263" s="19">
        <f>IF(AND(D263="",E263=""),"",StartBal+SUM($D$6:D263)-SUM($E$6:E263))</f>
        <v>0</v>
      </c>
    </row>
    <row r="264" spans="1:6">
      <c r="A264" s="15"/>
      <c r="B264" s="16"/>
      <c r="C264" s="17"/>
      <c r="D264" s="18"/>
      <c r="E264" s="18"/>
      <c r="F264" s="19">
        <f>IF(AND(D264="",E264=""),"",StartBal+SUM($D$6:D264)-SUM($E$6:E264))</f>
        <v>0</v>
      </c>
    </row>
    <row r="265" spans="1:6">
      <c r="A265" s="15"/>
      <c r="B265" s="16"/>
      <c r="C265" s="17"/>
      <c r="D265" s="18"/>
      <c r="E265" s="18"/>
      <c r="F265" s="19">
        <f>IF(AND(D265="",E265=""),"",StartBal+SUM($D$6:D265)-SUM($E$6:E265))</f>
        <v>0</v>
      </c>
    </row>
    <row r="266" spans="1:6">
      <c r="A266" s="15"/>
      <c r="B266" s="16"/>
      <c r="C266" s="17"/>
      <c r="D266" s="18"/>
      <c r="E266" s="18"/>
      <c r="F266" s="19">
        <f>IF(AND(D266="",E266=""),"",StartBal+SUM($D$6:D266)-SUM($E$6:E266))</f>
        <v>0</v>
      </c>
    </row>
    <row r="267" spans="1:6">
      <c r="A267" s="15"/>
      <c r="B267" s="16"/>
      <c r="C267" s="17"/>
      <c r="D267" s="18"/>
      <c r="E267" s="18"/>
      <c r="F267" s="19">
        <f>IF(AND(D267="",E267=""),"",StartBal+SUM($D$6:D267)-SUM($E$6:E267))</f>
        <v>0</v>
      </c>
    </row>
    <row r="268" spans="1:6">
      <c r="A268" s="15"/>
      <c r="B268" s="16"/>
      <c r="C268" s="17"/>
      <c r="D268" s="18"/>
      <c r="E268" s="18"/>
      <c r="F268" s="19">
        <f>IF(AND(D268="",E268=""),"",StartBal+SUM($D$6:D268)-SUM($E$6:E268))</f>
        <v>0</v>
      </c>
    </row>
    <row r="269" spans="1:6">
      <c r="A269" s="15"/>
      <c r="B269" s="16"/>
      <c r="C269" s="17"/>
      <c r="D269" s="18"/>
      <c r="E269" s="18"/>
      <c r="F269" s="19">
        <f>IF(AND(D269="",E269=""),"",StartBal+SUM($D$6:D269)-SUM($E$6:E269))</f>
        <v>0</v>
      </c>
    </row>
    <row r="270" spans="1:6">
      <c r="A270" s="15"/>
      <c r="B270" s="16"/>
      <c r="C270" s="17"/>
      <c r="D270" s="18"/>
      <c r="E270" s="18"/>
      <c r="F270" s="19">
        <f>IF(AND(D270="",E270=""),"",StartBal+SUM($D$6:D270)-SUM($E$6:E270))</f>
        <v>0</v>
      </c>
    </row>
    <row r="271" spans="1:6">
      <c r="A271" s="15"/>
      <c r="B271" s="16"/>
      <c r="C271" s="17"/>
      <c r="D271" s="18"/>
      <c r="E271" s="18"/>
      <c r="F271" s="19">
        <f>IF(AND(D271="",E271=""),"",StartBal+SUM($D$6:D271)-SUM($E$6:E271))</f>
        <v>0</v>
      </c>
    </row>
    <row r="272" spans="1:6">
      <c r="A272" s="15"/>
      <c r="B272" s="16"/>
      <c r="C272" s="17"/>
      <c r="D272" s="18"/>
      <c r="E272" s="18"/>
      <c r="F272" s="19">
        <f>IF(AND(D272="",E272=""),"",StartBal+SUM($D$6:D272)-SUM($E$6:E272))</f>
        <v>0</v>
      </c>
    </row>
    <row r="273" spans="1:6">
      <c r="A273" s="15"/>
      <c r="B273" s="16"/>
      <c r="C273" s="17"/>
      <c r="D273" s="18"/>
      <c r="E273" s="18"/>
      <c r="F273" s="19">
        <f>IF(AND(D273="",E273=""),"",StartBal+SUM($D$6:D273)-SUM($E$6:E273))</f>
        <v>0</v>
      </c>
    </row>
    <row r="274" spans="1:6">
      <c r="A274" s="15"/>
      <c r="B274" s="16"/>
      <c r="C274" s="17"/>
      <c r="D274" s="18"/>
      <c r="E274" s="18"/>
      <c r="F274" s="19">
        <f>IF(AND(D274="",E274=""),"",StartBal+SUM($D$6:D274)-SUM($E$6:E274))</f>
        <v>0</v>
      </c>
    </row>
    <row r="275" spans="1:6">
      <c r="A275" s="15"/>
      <c r="B275" s="16"/>
      <c r="C275" s="17"/>
      <c r="D275" s="18"/>
      <c r="E275" s="18"/>
      <c r="F275" s="19">
        <f>IF(AND(D275="",E275=""),"",StartBal+SUM($D$6:D275)-SUM($E$6:E275))</f>
        <v>0</v>
      </c>
    </row>
    <row r="276" spans="1:6">
      <c r="A276" s="15"/>
      <c r="B276" s="16"/>
      <c r="C276" s="17"/>
      <c r="D276" s="18"/>
      <c r="E276" s="18"/>
      <c r="F276" s="19">
        <f>IF(AND(D276="",E276=""),"",StartBal+SUM($D$6:D276)-SUM($E$6:E276))</f>
        <v>0</v>
      </c>
    </row>
    <row r="277" spans="1:6">
      <c r="A277" s="15"/>
      <c r="B277" s="16"/>
      <c r="C277" s="17"/>
      <c r="D277" s="18"/>
      <c r="E277" s="18"/>
      <c r="F277" s="19">
        <f>IF(AND(D277="",E277=""),"",StartBal+SUM($D$6:D277)-SUM($E$6:E277))</f>
        <v>0</v>
      </c>
    </row>
    <row r="278" spans="1:6">
      <c r="A278" s="15"/>
      <c r="B278" s="16"/>
      <c r="C278" s="17"/>
      <c r="D278" s="18"/>
      <c r="E278" s="18"/>
      <c r="F278" s="19">
        <f>IF(AND(D278="",E278=""),"",StartBal+SUM($D$6:D278)-SUM($E$6:E278))</f>
        <v>0</v>
      </c>
    </row>
    <row r="279" spans="1:6">
      <c r="A279" s="15"/>
      <c r="B279" s="16"/>
      <c r="C279" s="17"/>
      <c r="D279" s="18"/>
      <c r="E279" s="18"/>
      <c r="F279" s="19">
        <f>IF(AND(D279="",E279=""),"",StartBal+SUM($D$6:D279)-SUM($E$6:E279))</f>
        <v>0</v>
      </c>
    </row>
    <row r="280" spans="1:6">
      <c r="A280" s="15"/>
      <c r="B280" s="16"/>
      <c r="C280" s="17"/>
      <c r="D280" s="18"/>
      <c r="E280" s="18"/>
      <c r="F280" s="19">
        <f>IF(AND(D280="",E280=""),"",StartBal+SUM($D$6:D280)-SUM($E$6:E280))</f>
        <v>0</v>
      </c>
    </row>
    <row r="281" spans="1:6">
      <c r="A281" s="15"/>
      <c r="B281" s="16"/>
      <c r="C281" s="17"/>
      <c r="D281" s="18"/>
      <c r="E281" s="18"/>
      <c r="F281" s="19">
        <f>IF(AND(D281="",E281=""),"",StartBal+SUM($D$6:D281)-SUM($E$6:E281))</f>
        <v>0</v>
      </c>
    </row>
    <row r="282" spans="1:6">
      <c r="A282" s="15"/>
      <c r="B282" s="16"/>
      <c r="C282" s="17"/>
      <c r="D282" s="18"/>
      <c r="E282" s="18"/>
      <c r="F282" s="19">
        <f>IF(AND(D282="",E282=""),"",StartBal+SUM($D$6:D282)-SUM($E$6:E282))</f>
        <v>0</v>
      </c>
    </row>
    <row r="283" spans="1:6">
      <c r="A283" s="15"/>
      <c r="B283" s="16"/>
      <c r="C283" s="17"/>
      <c r="D283" s="18"/>
      <c r="E283" s="18"/>
      <c r="F283" s="19">
        <f>IF(AND(D283="",E283=""),"",StartBal+SUM($D$6:D283)-SUM($E$6:E283))</f>
        <v>0</v>
      </c>
    </row>
    <row r="284" spans="1:6">
      <c r="A284" s="15"/>
      <c r="B284" s="16"/>
      <c r="C284" s="17"/>
      <c r="D284" s="18"/>
      <c r="E284" s="18"/>
      <c r="F284" s="19">
        <f>IF(AND(D284="",E284=""),"",StartBal+SUM($D$6:D284)-SUM($E$6:E284))</f>
        <v>0</v>
      </c>
    </row>
    <row r="285" spans="1:6">
      <c r="A285" s="15"/>
      <c r="B285" s="16"/>
      <c r="C285" s="17"/>
      <c r="D285" s="18"/>
      <c r="E285" s="18"/>
      <c r="F285" s="19">
        <f>IF(AND(D285="",E285=""),"",StartBal+SUM($D$6:D285)-SUM($E$6:E285))</f>
        <v>0</v>
      </c>
    </row>
    <row r="286" spans="1:6">
      <c r="A286" s="15"/>
      <c r="B286" s="16"/>
      <c r="C286" s="17"/>
      <c r="D286" s="18"/>
      <c r="E286" s="18"/>
      <c r="F286" s="19">
        <f>IF(AND(D286="",E286=""),"",StartBal+SUM($D$6:D286)-SUM($E$6:E286))</f>
        <v>0</v>
      </c>
    </row>
    <row r="287" spans="1:6">
      <c r="A287" s="15"/>
      <c r="B287" s="16"/>
      <c r="C287" s="17"/>
      <c r="D287" s="18"/>
      <c r="E287" s="18"/>
      <c r="F287" s="19">
        <f>IF(AND(D287="",E287=""),"",StartBal+SUM($D$6:D287)-SUM($E$6:E287))</f>
        <v>0</v>
      </c>
    </row>
    <row r="288" spans="1:6">
      <c r="A288" s="15"/>
      <c r="B288" s="16"/>
      <c r="C288" s="17"/>
      <c r="D288" s="18"/>
      <c r="E288" s="18"/>
      <c r="F288" s="19">
        <f>IF(AND(D288="",E288=""),"",StartBal+SUM($D$6:D288)-SUM($E$6:E288))</f>
        <v>0</v>
      </c>
    </row>
    <row r="289" spans="1:6">
      <c r="A289" s="15"/>
      <c r="B289" s="16"/>
      <c r="C289" s="17"/>
      <c r="D289" s="18"/>
      <c r="E289" s="18"/>
      <c r="F289" s="19">
        <f>IF(AND(D289="",E289=""),"",StartBal+SUM($D$6:D289)-SUM($E$6:E289))</f>
        <v>0</v>
      </c>
    </row>
    <row r="290" spans="1:6">
      <c r="A290" s="15"/>
      <c r="B290" s="16"/>
      <c r="C290" s="17"/>
      <c r="D290" s="18"/>
      <c r="E290" s="18"/>
      <c r="F290" s="19">
        <f>IF(AND(D290="",E290=""),"",StartBal+SUM($D$6:D290)-SUM($E$6:E290))</f>
        <v>0</v>
      </c>
    </row>
    <row r="291" spans="1:6">
      <c r="A291" s="15"/>
      <c r="B291" s="16"/>
      <c r="C291" s="17"/>
      <c r="D291" s="18"/>
      <c r="E291" s="18"/>
      <c r="F291" s="19">
        <f>IF(AND(D291="",E291=""),"",StartBal+SUM($D$6:D291)-SUM($E$6:E291))</f>
        <v>0</v>
      </c>
    </row>
    <row r="292" spans="1:6">
      <c r="A292" s="15"/>
      <c r="B292" s="16"/>
      <c r="C292" s="17"/>
      <c r="D292" s="18"/>
      <c r="E292" s="18"/>
      <c r="F292" s="19">
        <f>IF(AND(D292="",E292=""),"",StartBal+SUM($D$6:D292)-SUM($E$6:E292))</f>
        <v>0</v>
      </c>
    </row>
    <row r="293" spans="1:6">
      <c r="A293" s="15"/>
      <c r="B293" s="16"/>
      <c r="C293" s="17"/>
      <c r="D293" s="18"/>
      <c r="E293" s="18"/>
      <c r="F293" s="19">
        <f>IF(AND(D293="",E293=""),"",StartBal+SUM($D$6:D293)-SUM($E$6:E293))</f>
        <v>0</v>
      </c>
    </row>
    <row r="294" spans="1:6">
      <c r="A294" s="15"/>
      <c r="B294" s="16"/>
      <c r="C294" s="17"/>
      <c r="D294" s="18"/>
      <c r="E294" s="18"/>
      <c r="F294" s="19">
        <f>IF(AND(D294="",E294=""),"",StartBal+SUM($D$6:D294)-SUM($E$6:E294))</f>
        <v>0</v>
      </c>
    </row>
    <row r="295" spans="1:6">
      <c r="A295" s="15"/>
      <c r="B295" s="16"/>
      <c r="C295" s="17"/>
      <c r="D295" s="18"/>
      <c r="E295" s="18"/>
      <c r="F295" s="19">
        <f>IF(AND(D295="",E295=""),"",StartBal+SUM($D$6:D295)-SUM($E$6:E295))</f>
        <v>0</v>
      </c>
    </row>
    <row r="296" spans="1:6">
      <c r="A296" s="15"/>
      <c r="B296" s="16"/>
      <c r="C296" s="17"/>
      <c r="D296" s="18"/>
      <c r="E296" s="18"/>
      <c r="F296" s="19">
        <f>IF(AND(D296="",E296=""),"",StartBal+SUM($D$6:D296)-SUM($E$6:E296))</f>
        <v>0</v>
      </c>
    </row>
    <row r="297" spans="1:6">
      <c r="A297" s="15"/>
      <c r="B297" s="16"/>
      <c r="C297" s="17"/>
      <c r="D297" s="18"/>
      <c r="E297" s="18"/>
      <c r="F297" s="19">
        <f>IF(AND(D297="",E297=""),"",StartBal+SUM($D$6:D297)-SUM($E$6:E297))</f>
        <v>0</v>
      </c>
    </row>
    <row r="298" spans="1:6">
      <c r="A298" s="15"/>
      <c r="B298" s="16"/>
      <c r="C298" s="17"/>
      <c r="D298" s="18"/>
      <c r="E298" s="18"/>
      <c r="F298" s="19">
        <f>IF(AND(D298="",E298=""),"",StartBal+SUM($D$6:D298)-SUM($E$6:E298))</f>
        <v>0</v>
      </c>
    </row>
    <row r="299" spans="1:6">
      <c r="A299" s="15"/>
      <c r="B299" s="16"/>
      <c r="C299" s="17"/>
      <c r="D299" s="18"/>
      <c r="E299" s="18"/>
      <c r="F299" s="19">
        <f>IF(AND(D299="",E299=""),"",StartBal+SUM($D$6:D299)-SUM($E$6:E299))</f>
        <v>0</v>
      </c>
    </row>
    <row r="300" spans="1:6">
      <c r="A300" s="15"/>
      <c r="B300" s="16"/>
      <c r="C300" s="17"/>
      <c r="D300" s="18"/>
      <c r="E300" s="18"/>
      <c r="F300" s="19">
        <f>IF(AND(D300="",E300=""),"",StartBal+SUM($D$6:D300)-SUM($E$6:E300))</f>
        <v>0</v>
      </c>
    </row>
    <row r="301" spans="1:6">
      <c r="A301" s="15"/>
      <c r="B301" s="16"/>
      <c r="C301" s="17"/>
      <c r="D301" s="18"/>
      <c r="E301" s="18"/>
      <c r="F301" s="19">
        <f>IF(AND(D301="",E301=""),"",StartBal+SUM($D$6:D301)-SUM($E$6:E301))</f>
        <v>0</v>
      </c>
    </row>
    <row r="302" spans="1:6">
      <c r="A302" s="15"/>
      <c r="B302" s="16"/>
      <c r="C302" s="17"/>
      <c r="D302" s="18"/>
      <c r="E302" s="18"/>
      <c r="F302" s="19">
        <f>IF(AND(D302="",E302=""),"",StartBal+SUM($D$6:D302)-SUM($E$6:E302))</f>
        <v>0</v>
      </c>
    </row>
    <row r="303" spans="1:6">
      <c r="A303" s="15"/>
      <c r="B303" s="16"/>
      <c r="C303" s="17"/>
      <c r="D303" s="18"/>
      <c r="E303" s="18"/>
      <c r="F303" s="19">
        <f>IF(AND(D303="",E303=""),"",StartBal+SUM($D$6:D303)-SUM($E$6:E303))</f>
        <v>0</v>
      </c>
    </row>
    <row r="304" spans="1:6">
      <c r="A304" s="15"/>
      <c r="B304" s="16"/>
      <c r="C304" s="17"/>
      <c r="D304" s="18"/>
      <c r="E304" s="18"/>
      <c r="F304" s="19">
        <f>IF(AND(D304="",E304=""),"",StartBal+SUM($D$6:D304)-SUM($E$6:E304))</f>
        <v>0</v>
      </c>
    </row>
    <row r="305" spans="1:6">
      <c r="A305" s="15"/>
      <c r="B305" s="16"/>
      <c r="C305" s="17"/>
      <c r="D305" s="18"/>
      <c r="E305" s="18"/>
      <c r="F305" s="19">
        <f>IF(AND(D305="",E305=""),"",StartBal+SUM($D$6:D305)-SUM($E$6:E305))</f>
        <v>0</v>
      </c>
    </row>
  </sheetData>
  <mergeCells count="2">
    <mergeCell ref="A1:F1"/>
    <mergeCell ref="C2:F3"/>
  </mergeCells>
  <conditionalFormatting sqref="F6:F305">
    <cfRule type="cellIs" dxfId="0" priority="1" operator="lessThan">
      <formula>0</formula>
    </cfRule>
  </conditionalFormatting>
  <dataValidations count="3">
    <dataValidation type="date" allowBlank="1" showInputMessage="1" showErrorMessage="1" error="날짜 형식(예: 2026-03-02)으로 입력해 주세요." sqref="A6:A305">
      <formula1>36526</formula1>
      <formula2>73415</formula2>
    </dataValidation>
    <dataValidation type="list" errorStyle="warning" allowBlank="1" showInputMessage="1" showErrorMessage="1" sqref="C6:C305">
      <formula1>AllowCats</formula1>
    </dataValidation>
    <dataValidation type="decimal" operator="greaterThanOrEqual" allowBlank="1" showInputMessage="1" showErrorMessage="1" error="0 이상의 금액을 입력해 주세요." sqref="D6:E305">
      <formula1>0</formula1>
    </dataValidation>
  </dataValidations>
  <pageMargins left="0.7" right="0.7" top="0.75" bottom="0.75" header="0.3" footer="0.3"/>
  <pageSetup fitToHeight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3F95A6"/>
    <pageSetUpPr fitToPage="1"/>
  </sheetPr>
  <dimension ref="B1:I17"/>
  <sheetViews>
    <sheetView showGridLines="0" workbookViewId="0"/>
  </sheetViews>
  <sheetFormatPr defaultRowHeight="15"/>
  <cols>
    <col min="1" max="1" width="3.7109375" customWidth="1"/>
    <col min="2" max="5" width="14.7109375" customWidth="1"/>
    <col min="6" max="7" width="3.7109375" customWidth="1"/>
    <col min="8" max="9" width="14.7109375" customWidth="1"/>
  </cols>
  <sheetData>
    <row r="1" spans="2:9">
      <c r="B1" s="20" t="s">
        <v>32</v>
      </c>
      <c r="C1" s="20"/>
      <c r="D1" s="20"/>
      <c r="E1" s="20"/>
      <c r="F1" s="20"/>
      <c r="G1" s="20"/>
      <c r="H1" s="20"/>
      <c r="I1" s="20"/>
    </row>
    <row r="4" spans="2:9">
      <c r="B4" s="11" t="s">
        <v>33</v>
      </c>
      <c r="C4" s="11" t="s">
        <v>19</v>
      </c>
      <c r="D4" s="11" t="s">
        <v>20</v>
      </c>
      <c r="E4" s="11" t="s">
        <v>34</v>
      </c>
      <c r="H4" s="11" t="s">
        <v>18</v>
      </c>
      <c r="I4" s="11" t="s">
        <v>36</v>
      </c>
    </row>
    <row r="5" spans="2:9">
      <c r="B5" s="21">
        <v>1</v>
      </c>
      <c r="C5" s="18">
        <f>SUMIFS('기입장'!$D$6:$D$305,'기입장'!$A$6:$A$305,"&gt;="&amp;DATE(Year,B5,1),'기입장'!$A$6:$A$305,"&lt;"&amp;DATE(Year,B5+1,1))</f>
        <v>0</v>
      </c>
      <c r="D5" s="18">
        <f>SUMIFS('기입장'!$E$6:$E$305,'기입장'!$A$6:$A$305,"&gt;="&amp;DATE(Year,B5,1),'기입장'!$A$6:$A$305,"&lt;"&amp;DATE(Year,B5+1,1))</f>
        <v>0</v>
      </c>
      <c r="E5" s="22">
        <f>C5-D5</f>
        <v>0</v>
      </c>
      <c r="H5" s="23" t="s">
        <v>31</v>
      </c>
      <c r="I5" s="18">
        <f>SUMIFS('기입장'!$E$6:$E$305,'기입장'!$C$6:$C$305,H5)</f>
        <v>0</v>
      </c>
    </row>
    <row r="6" spans="2:9">
      <c r="B6" s="21">
        <v>2</v>
      </c>
      <c r="C6" s="18">
        <f>SUMIFS('기입장'!$D$6:$D$305,'기입장'!$A$6:$A$305,"&gt;="&amp;DATE(Year,B6,1),'기입장'!$A$6:$A$305,"&lt;"&amp;DATE(Year,B6+1,1))</f>
        <v>0</v>
      </c>
      <c r="D6" s="18">
        <f>SUMIFS('기입장'!$E$6:$E$305,'기입장'!$A$6:$A$305,"&gt;="&amp;DATE(Year,B6,1),'기입장'!$A$6:$A$305,"&lt;"&amp;DATE(Year,B6+1,1))</f>
        <v>0</v>
      </c>
      <c r="E6" s="22">
        <f>C6-D6</f>
        <v>0</v>
      </c>
      <c r="H6" s="23" t="s">
        <v>24</v>
      </c>
      <c r="I6" s="18">
        <f>SUMIFS('기입장'!$E$6:$E$305,'기입장'!$C$6:$C$305,H6)</f>
        <v>0</v>
      </c>
    </row>
    <row r="7" spans="2:9">
      <c r="B7" s="21">
        <v>3</v>
      </c>
      <c r="C7" s="18">
        <f>SUMIFS('기입장'!$D$6:$D$305,'기입장'!$A$6:$A$305,"&gt;="&amp;DATE(Year,B7,1),'기입장'!$A$6:$A$305,"&lt;"&amp;DATE(Year,B7+1,1))</f>
        <v>0</v>
      </c>
      <c r="D7" s="18">
        <f>SUMIFS('기입장'!$E$6:$E$305,'기입장'!$A$6:$A$305,"&gt;="&amp;DATE(Year,B7,1),'기입장'!$A$6:$A$305,"&lt;"&amp;DATE(Year,B7+1,1))</f>
        <v>0</v>
      </c>
      <c r="E7" s="22">
        <f>C7-D7</f>
        <v>0</v>
      </c>
      <c r="H7" s="23" t="s">
        <v>25</v>
      </c>
      <c r="I7" s="18">
        <f>SUMIFS('기입장'!$E$6:$E$305,'기입장'!$C$6:$C$305,H7)</f>
        <v>0</v>
      </c>
    </row>
    <row r="8" spans="2:9">
      <c r="B8" s="21">
        <v>4</v>
      </c>
      <c r="C8" s="18">
        <f>SUMIFS('기입장'!$D$6:$D$305,'기입장'!$A$6:$A$305,"&gt;="&amp;DATE(Year,B8,1),'기입장'!$A$6:$A$305,"&lt;"&amp;DATE(Year,B8+1,1))</f>
        <v>0</v>
      </c>
      <c r="D8" s="18">
        <f>SUMIFS('기입장'!$E$6:$E$305,'기입장'!$A$6:$A$305,"&gt;="&amp;DATE(Year,B8,1),'기입장'!$A$6:$A$305,"&lt;"&amp;DATE(Year,B8+1,1))</f>
        <v>0</v>
      </c>
      <c r="E8" s="22">
        <f>C8-D8</f>
        <v>0</v>
      </c>
      <c r="H8" s="23" t="s">
        <v>26</v>
      </c>
      <c r="I8" s="18">
        <f>SUMIFS('기입장'!$E$6:$E$305,'기입장'!$C$6:$C$305,H8)</f>
        <v>0</v>
      </c>
    </row>
    <row r="9" spans="2:9">
      <c r="B9" s="21">
        <v>5</v>
      </c>
      <c r="C9" s="18">
        <f>SUMIFS('기입장'!$D$6:$D$305,'기입장'!$A$6:$A$305,"&gt;="&amp;DATE(Year,B9,1),'기입장'!$A$6:$A$305,"&lt;"&amp;DATE(Year,B9+1,1))</f>
        <v>0</v>
      </c>
      <c r="D9" s="18">
        <f>SUMIFS('기입장'!$E$6:$E$305,'기입장'!$A$6:$A$305,"&gt;="&amp;DATE(Year,B9,1),'기입장'!$A$6:$A$305,"&lt;"&amp;DATE(Year,B9+1,1))</f>
        <v>0</v>
      </c>
      <c r="E9" s="22">
        <f>C9-D9</f>
        <v>0</v>
      </c>
      <c r="H9" s="23" t="s">
        <v>27</v>
      </c>
      <c r="I9" s="18">
        <f>SUMIFS('기입장'!$E$6:$E$305,'기입장'!$C$6:$C$305,H9)</f>
        <v>0</v>
      </c>
    </row>
    <row r="10" spans="2:9">
      <c r="B10" s="21">
        <v>6</v>
      </c>
      <c r="C10" s="18">
        <f>SUMIFS('기입장'!$D$6:$D$305,'기입장'!$A$6:$A$305,"&gt;="&amp;DATE(Year,B10,1),'기입장'!$A$6:$A$305,"&lt;"&amp;DATE(Year,B10+1,1))</f>
        <v>0</v>
      </c>
      <c r="D10" s="18">
        <f>SUMIFS('기입장'!$E$6:$E$305,'기입장'!$A$6:$A$305,"&gt;="&amp;DATE(Year,B10,1),'기입장'!$A$6:$A$305,"&lt;"&amp;DATE(Year,B10+1,1))</f>
        <v>0</v>
      </c>
      <c r="E10" s="22">
        <f>C10-D10</f>
        <v>0</v>
      </c>
      <c r="H10" s="23" t="s">
        <v>28</v>
      </c>
      <c r="I10" s="18">
        <f>SUMIFS('기입장'!$E$6:$E$305,'기입장'!$C$6:$C$305,H10)</f>
        <v>0</v>
      </c>
    </row>
    <row r="11" spans="2:9">
      <c r="B11" s="21">
        <v>7</v>
      </c>
      <c r="C11" s="18">
        <f>SUMIFS('기입장'!$D$6:$D$305,'기입장'!$A$6:$A$305,"&gt;="&amp;DATE(Year,B11,1),'기입장'!$A$6:$A$305,"&lt;"&amp;DATE(Year,B11+1,1))</f>
        <v>0</v>
      </c>
      <c r="D11" s="18">
        <f>SUMIFS('기입장'!$E$6:$E$305,'기입장'!$A$6:$A$305,"&gt;="&amp;DATE(Year,B11,1),'기입장'!$A$6:$A$305,"&lt;"&amp;DATE(Year,B11+1,1))</f>
        <v>0</v>
      </c>
      <c r="E11" s="22">
        <f>C11-D11</f>
        <v>0</v>
      </c>
      <c r="H11" s="23" t="s">
        <v>29</v>
      </c>
      <c r="I11" s="18">
        <f>SUMIFS('기입장'!$E$6:$E$305,'기입장'!$C$6:$C$305,H11)</f>
        <v>0</v>
      </c>
    </row>
    <row r="12" spans="2:9">
      <c r="B12" s="21">
        <v>8</v>
      </c>
      <c r="C12" s="18">
        <f>SUMIFS('기입장'!$D$6:$D$305,'기입장'!$A$6:$A$305,"&gt;="&amp;DATE(Year,B12,1),'기입장'!$A$6:$A$305,"&lt;"&amp;DATE(Year,B12+1,1))</f>
        <v>0</v>
      </c>
      <c r="D12" s="18">
        <f>SUMIFS('기입장'!$E$6:$E$305,'기입장'!$A$6:$A$305,"&gt;="&amp;DATE(Year,B12,1),'기입장'!$A$6:$A$305,"&lt;"&amp;DATE(Year,B12+1,1))</f>
        <v>0</v>
      </c>
      <c r="E12" s="22">
        <f>C12-D12</f>
        <v>0</v>
      </c>
      <c r="H12" s="23" t="s">
        <v>30</v>
      </c>
      <c r="I12" s="18">
        <f>SUMIFS('기입장'!$E$6:$E$305,'기입장'!$C$6:$C$305,H12)</f>
        <v>0</v>
      </c>
    </row>
    <row r="13" spans="2:9">
      <c r="B13" s="21">
        <v>9</v>
      </c>
      <c r="C13" s="18">
        <f>SUMIFS('기입장'!$D$6:$D$305,'기입장'!$A$6:$A$305,"&gt;="&amp;DATE(Year,B13,1),'기입장'!$A$6:$A$305,"&lt;"&amp;DATE(Year,B13+1,1))</f>
        <v>0</v>
      </c>
      <c r="D13" s="18">
        <f>SUMIFS('기입장'!$E$6:$E$305,'기입장'!$A$6:$A$305,"&gt;="&amp;DATE(Year,B13,1),'기입장'!$A$6:$A$305,"&lt;"&amp;DATE(Year,B13+1,1))</f>
        <v>0</v>
      </c>
      <c r="E13" s="22">
        <f>C13-D13</f>
        <v>0</v>
      </c>
      <c r="H13" s="24" t="s">
        <v>35</v>
      </c>
      <c r="I13" s="25">
        <f>SUM(I5:I12)</f>
        <v>0</v>
      </c>
    </row>
    <row r="14" spans="2:9">
      <c r="B14" s="21">
        <v>10</v>
      </c>
      <c r="C14" s="18">
        <f>SUMIFS('기입장'!$D$6:$D$305,'기입장'!$A$6:$A$305,"&gt;="&amp;DATE(Year,B14,1),'기입장'!$A$6:$A$305,"&lt;"&amp;DATE(Year,B14+1,1))</f>
        <v>0</v>
      </c>
      <c r="D14" s="18">
        <f>SUMIFS('기입장'!$E$6:$E$305,'기입장'!$A$6:$A$305,"&gt;="&amp;DATE(Year,B14,1),'기입장'!$A$6:$A$305,"&lt;"&amp;DATE(Year,B14+1,1))</f>
        <v>0</v>
      </c>
      <c r="E14" s="22">
        <f>C14-D14</f>
        <v>0</v>
      </c>
    </row>
    <row r="15" spans="2:9">
      <c r="B15" s="21">
        <v>11</v>
      </c>
      <c r="C15" s="18">
        <f>SUMIFS('기입장'!$D$6:$D$305,'기입장'!$A$6:$A$305,"&gt;="&amp;DATE(Year,B15,1),'기입장'!$A$6:$A$305,"&lt;"&amp;DATE(Year,B15+1,1))</f>
        <v>0</v>
      </c>
      <c r="D15" s="18">
        <f>SUMIFS('기입장'!$E$6:$E$305,'기입장'!$A$6:$A$305,"&gt;="&amp;DATE(Year,B15,1),'기입장'!$A$6:$A$305,"&lt;"&amp;DATE(Year,B15+1,1))</f>
        <v>0</v>
      </c>
      <c r="E15" s="22">
        <f>C15-D15</f>
        <v>0</v>
      </c>
    </row>
    <row r="16" spans="2:9">
      <c r="B16" s="21">
        <v>12</v>
      </c>
      <c r="C16" s="18">
        <f>SUMIFS('기입장'!$D$6:$D$305,'기입장'!$A$6:$A$305,"&gt;="&amp;DATE(Year,B16,1),'기입장'!$A$6:$A$305,"&lt;"&amp;DATE(Year,B16+1,1))</f>
        <v>0</v>
      </c>
      <c r="D16" s="18">
        <f>SUMIFS('기입장'!$E$6:$E$305,'기입장'!$A$6:$A$305,"&gt;="&amp;DATE(Year,B16,1),'기입장'!$A$6:$A$305,"&lt;"&amp;DATE(Year,B16+1,1))</f>
        <v>0</v>
      </c>
      <c r="E16" s="22">
        <f>C16-D16</f>
        <v>0</v>
      </c>
    </row>
    <row r="17" spans="2:5">
      <c r="B17" s="24" t="s">
        <v>35</v>
      </c>
      <c r="C17" s="26">
        <f>SUM(C5:C16)</f>
        <v>0</v>
      </c>
      <c r="D17" s="26">
        <f>SUM(D5:D16)</f>
        <v>0</v>
      </c>
      <c r="E17" s="26">
        <f>SUM(E5:E16)</f>
        <v>0</v>
      </c>
    </row>
  </sheetData>
  <mergeCells count="1">
    <mergeCell ref="B1:I1"/>
  </mergeCells>
  <pageMargins left="0.7" right="0.7" top="0.75" bottom="0.75" header="0.3" footer="0.3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13B58"/>
    <pageSetUpPr fitToPage="1"/>
  </sheetPr>
  <dimension ref="B1:C14"/>
  <sheetViews>
    <sheetView showGridLines="0" workbookViewId="0"/>
  </sheetViews>
  <sheetFormatPr defaultRowHeight="15" x14ac:dyDescent="0.25"/>
  <cols>
    <col min="1" max="1" width="3.7109375" customWidth="1"/>
    <col min="2" max="2" width="24.7109375" customWidth="1"/>
    <col min="3" max="3" width="20.7109375" customWidth="1"/>
  </cols>
  <sheetData>
    <row r="1" spans="2:3" x14ac:dyDescent="0.25">
      <c r="B1" s="20" t="s">
        <v>37</v>
      </c>
      <c r="C1" s="20"/>
    </row>
    <row r="3" spans="2:3" x14ac:dyDescent="0.25">
      <c r="B3" s="11" t="s">
        <v>38</v>
      </c>
      <c r="C3" s="27" t="s">
        <v>39</v>
      </c>
    </row>
    <row r="4" spans="2:3" x14ac:dyDescent="0.25">
      <c r="B4" s="11" t="s">
        <v>40</v>
      </c>
      <c r="C4" s="14">
        <v>1800000</v>
      </c>
    </row>
    <row r="6" spans="2:3" x14ac:dyDescent="0.25">
      <c r="B6" s="28" t="s">
        <v>41</v>
      </c>
      <c r="C6" s="29">
        <f>StartBal+SUM('기입장'!$D$6:$D$305)-SUM('기입장'!$E$6:$E$305)+SUMIFS('기입장'!$E$6:$E$305,'기입장'!$C$6:$C$305,"저금")</f>
        <v>0</v>
      </c>
    </row>
    <row r="7" spans="2:3" x14ac:dyDescent="0.25">
      <c r="B7" s="28" t="s">
        <v>42</v>
      </c>
      <c r="C7" s="30">
        <f>IF(C4=0,0,C6/C4)</f>
        <v>0</v>
      </c>
    </row>
    <row r="8" spans="2:3" x14ac:dyDescent="0.25">
      <c r="B8" s="28" t="s">
        <v>43</v>
      </c>
      <c r="C8" s="29">
        <f>MAX(0,C4-C6)</f>
        <v>0</v>
      </c>
    </row>
    <row r="9" spans="2:3" x14ac:dyDescent="0.25">
      <c r="B9" s="28" t="s">
        <v>44</v>
      </c>
      <c r="C9" s="29">
        <f>IFERROR(AVERAGEIF('월요약'!$E$5:$E$16,"&lt;&gt;0"),0)</f>
        <v>0</v>
      </c>
    </row>
    <row r="10" spans="2:3" x14ac:dyDescent="0.25">
      <c r="B10" s="28" t="s">
        <v>45</v>
      </c>
      <c r="C10" s="31">
        <f>IF(C9&lt;=0,"-",IF(C8=0,"달성!",ROUNDUP(C8/C9,0)&amp;"개월"))</f>
        <v>0</v>
      </c>
    </row>
    <row r="12" spans="2:3" x14ac:dyDescent="0.25">
      <c r="B12" s="8" t="s">
        <v>46</v>
      </c>
      <c r="C12" s="8"/>
    </row>
    <row r="13" spans="2:3" x14ac:dyDescent="0.25">
      <c r="B13" s="8"/>
      <c r="C13" s="8"/>
    </row>
    <row r="14" spans="2:3" x14ac:dyDescent="0.25">
      <c r="B14" s="8"/>
      <c r="C14" s="8"/>
    </row>
  </sheetData>
  <mergeCells count="2">
    <mergeCell ref="B1:C1"/>
    <mergeCell ref="B12:C14"/>
  </mergeCells>
  <conditionalFormatting sqref="C7">
    <cfRule type="dataBar" priority="1">
      <dataBar>
        <cfvo type="num" val="0"/>
        <cfvo type="num" val="1"/>
        <color rgb="FF3F95A6"/>
      </dataBar>
      <extLst>
        <ext xmlns:x14="http://schemas.microsoft.com/office/spreadsheetml/2009/9/main" uri="{B025F937-C7B1-47D3-B67F-A62EFF666E3E}">
          <x14:id>{DA7ABA51-AAAA-BBBB-0004-000000000001}</x14:id>
        </ext>
      </extLst>
    </cfRule>
  </conditionalFormatting>
  <dataValidations count="1">
    <dataValidation type="decimal" operator="greaterThan" allowBlank="1" showInputMessage="1" showErrorMessage="1" error="0보다 큰 금액을 입력해 주세요." sqref="C4">
      <formula1>0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DA7ABA51-AAAA-BBBB-0004-000000000001}">
            <x14:dataBar minLength="0" maxLength="100" border="1" gradient="0" negativeBarBorderColorSameAsPositive="0">
              <x14:cfvo type="num">
                <xm:f>0</xm:f>
              </x14:cfvo>
              <x14:cfvo type="num">
                <xm:f>1</xm:f>
              </x14:cfvo>
              <x14:borderColor rgb="FF3F95A6"/>
              <x14:negativeFillColor rgb="FFFF0000"/>
              <x14:negativeBorderColor rgb="FFFF0000"/>
              <x14:axisColor rgb="FF000000"/>
            </x14:dataBar>
          </x14:cfRule>
          <xm:sqref>C7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4</vt:i4>
      </vt:variant>
    </vt:vector>
  </HeadingPairs>
  <TitlesOfParts>
    <vt:vector size="8" baseType="lpstr">
      <vt:lpstr>시작하기</vt:lpstr>
      <vt:lpstr>기입장</vt:lpstr>
      <vt:lpstr>월요약</vt:lpstr>
      <vt:lpstr>저금목표</vt:lpstr>
      <vt:lpstr>AllowCats</vt:lpstr>
      <vt:lpstr>기입장!Print_Titles</vt:lpstr>
      <vt:lpstr>StartBal</vt:lpstr>
      <vt:lpstr>Year</vt:lpstr>
    </vt:vector>
  </TitlesOfParts>
  <Company>우체국보험 상담 안내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대학생·청년 용돈기입장</dc:title>
  <dc:creator>우체국보험 상담 안내</dc:creator>
  <dc:description>자유롭게 편집해서 사용하세요.</dc:description>
  <cp:lastModifiedBy>우체국보험 상담 안내</cp:lastModifiedBy>
  <dcterms:created xsi:type="dcterms:W3CDTF">2026-10-19T10:50:15Z</dcterms:created>
  <dcterms:modified xsi:type="dcterms:W3CDTF">2026-10-19T10:50:15Z</dcterms:modified>
</cp:coreProperties>
</file>