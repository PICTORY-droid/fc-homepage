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'월요약'!$H$5:$H$10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<sst xmlns="http://schemas.openxmlformats.org/spreadsheetml/2006/main" count="89" uniqueCount="44">
  <si>
    <t>유치원·초등 저학년 용돈기입장</t>
  </si>
  <si>
    <t>연탄불 아랫목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</si>
  <si>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</si>
  <si>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</si>
  <si>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</si>
  <si>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</si>
  <si>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</si>
  <si>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</si>
  <si>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</si>
  <si>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</si>
  <si>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</si>
  <si>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</si>
  <si>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우체국보험 상담 안내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</si>
  <si>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</si>
  <si>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</si>
  <si>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</si>
  <si>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</si>
  <si>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</si>
  <si>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</si>
  <si>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</si>
  <si>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</si>
  <si>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</si>
  <si>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</si>
  <si>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장난감</t>
  </si>
  <si>
    <t>문구</t>
  </si>
  <si>
    <t>저금</t>
  </si>
  <si>
    <t>나눔·선물</t>
  </si>
  <si>
    <t>기타</t>
  </si>
  <si>
    <t>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</si>
  <si>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</si>
  <si>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</si>
  <si>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</si>
  <si>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</si>
  <si>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</si>
  <si>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</si>
  <si>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</si>
  <si>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갖고 싶은 장난감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</si>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</sst>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&quot;월&quot;"/>
    <numFmt numFmtId="167" formatCode="#,##0;[Red]-#,##0"/>
    <numFmt numFmtId="168" formatCode="0%"/>
    <numFmt numFmtId="169" formatCode="@"/>
  </numFmts>
  <fonts count="13">
    <font>
      <sz val="11"/>
      <color theme="1"/>
      <name val="Calibri"/>
      <family val="2"/>
      <scheme val="minor"/>
    </font>
    <font>
      <b/>
      <sz val="22"/>
      <color rgb="FF3B2017"/>
      <name val="맑은 고딕"/>
      <family val="2"/>
    </font>
    <font>
      <i/>
      <sz val="11"/>
      <color rgb="FF7D4531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B2017"/>
      <name val="맑은 고딕"/>
      <family val="2"/>
    </font>
    <font>
      <sz val="9"/>
      <color rgb="FF7D4531"/>
      <name val="맑은 고딕"/>
      <family val="2"/>
    </font>
    <font>
      <b/>
      <sz val="18"/>
      <color rgb="FF3B2017"/>
      <name val="맑은 고딕"/>
      <family val="2"/>
    </font>
    <font>
      <i/>
      <sz val="10"/>
      <color rgb="FF7D4531"/>
      <name val="맑은 고딕"/>
      <family val="2"/>
    </font>
    <font>
      <b/>
      <sz val="10"/>
      <color theme="1"/>
      <name val="맑은 고딕"/>
      <family val="2"/>
    </font>
    <font>
      <b/>
      <sz val="16"/>
      <color rgb="FF3B2017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7D4531"/>
        <bgColor indexed="64"/>
      </patternFill>
    </fill>
    <fill>
      <patternFill patternType="solid">
        <fgColor rgb="FFEFD9D1"/>
        <bgColor indexed="64"/>
      </patternFill>
    </fill>
    <fill>
      <patternFill patternType="solid">
        <fgColor rgb="FFF9F3F0"/>
        <bgColor indexed="64"/>
      </patternFill>
    </fill>
  </fills>
  <borders count="5">
    <border>
      <left/>
      <right/>
      <top/>
      <bottom/>
      <diagonal/>
    </border>
    <border>
      <left style="thin">
        <color rgb="FFEFD9D1"/>
      </left>
      <right style="thin">
        <color rgb="FFEFD9D1"/>
      </right>
      <top style="thin">
        <color rgb="FFEFD9D1"/>
      </top>
      <bottom style="thin">
        <color rgb="FFEFD9D1"/>
      </bottom>
      <diagonal/>
    </border>
    <border>
      <left style="thin">
        <color rgb="FF3B2017"/>
      </left>
      <right style="thin">
        <color rgb="FF3B2017"/>
      </right>
      <top style="thin">
        <color rgb="FF3B2017"/>
      </top>
      <bottom style="thin">
        <color rgb="FF3B2017"/>
      </bottom>
      <diagonal/>
    </border>
    <border>
      <left style="thin">
        <color rgb="FF7D4531"/>
      </left>
      <right style="thin">
        <color rgb="FF7D4531"/>
      </right>
      <top style="thin">
        <color rgb="FF7D4531"/>
      </top>
      <bottom style="thin">
        <color rgb="FF7D4531"/>
      </bottom>
      <diagonal/>
    </border>
    <border>
      <left/>
      <right/>
      <top style="medium">
        <color rgb="FF7D453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4" borderId="3" xfId="0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vertical="center"/>
    </xf>
    <xf numFmtId="167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B2017"/>
                </a:solidFill>
                <a:latin typeface="맑은 고딕"/>
              </a:defRPr>
            </a:pPr>
            <a:r>
              <a:rPr lang="en-US" sz="1100" baseline="0">
                <a:solidFill>
                  <a:srgbClr val="3B2017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분류별 쓴 돈</c:v>
          </c:tx>
          <c:spPr>
            <a:solidFill>
              <a:srgbClr val="7D4531"/>
            </a:solidFill>
          </c:spPr>
          <c:cat>
            <c:strRef>
              <c:f>'월요약'!$H$5:$H$10</c:f>
              <c:strCache>
                <c:ptCount val="6"/>
                <c:pt idx="0">
                  <c:v>간식</c:v>
                </c:pt>
                <c:pt idx="1">
                  <c:v>장난감</c:v>
                </c:pt>
                <c:pt idx="2">
                  <c:v>문구</c:v>
                </c:pt>
                <c:pt idx="3">
                  <c:v>저금</c:v>
                </c:pt>
                <c:pt idx="4">
                  <c:v>나눔·선물</c:v>
                </c:pt>
                <c:pt idx="5">
                  <c:v>기타</c:v>
                </c:pt>
              </c:strCache>
            </c:strRef>
          </c:cat>
          <c:val>
            <c:numRef>
              <c:f>'월요약'!$I$5:$I$10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EFD9D1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B2017"/>
                </a:solidFill>
                <a:latin typeface="맑은 고딕"/>
              </a:defRPr>
            </a:pPr>
            <a:r>
              <a:rPr lang="en-US" sz="1100" baseline="0">
                <a:solidFill>
                  <a:srgbClr val="3B2017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들어온 돈</c:v>
          </c:tx>
          <c:spPr>
            <a:solidFill>
              <a:srgbClr val="3B917D"/>
            </a:solidFill>
            <a:ln>
              <a:solidFill>
                <a:srgbClr val="3B917D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7D4531"/>
            </a:solidFill>
            <a:ln>
              <a:solidFill>
                <a:srgbClr val="7D4531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FD9D1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7D4531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7D4531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13</v>
      </c>
      <c r="B2" s="12">
        <v>2026</v>
      </c>
      <c r="C2" s="13"/>
      <c r="D2" s="13"/>
      <c r="E2" s="13"/>
      <c r="F2" s="13"/>
    </row>
    <row r="3" spans="1:6">
      <c r="A3" s="11" t="s">
        <v>14</v>
      </c>
      <c r="B3" s="14">
        <v>0</v>
      </c>
      <c r="C3" s="13"/>
      <c r="D3" s="13"/>
      <c r="E3" s="13"/>
      <c r="F3" s="13"/>
    </row>
    <row r="5" spans="1:6">
      <c r="A5" s="11" t="s">
        <v>15</v>
      </c>
      <c r="B5" s="11" t="s">
        <v>16</v>
      </c>
      <c r="C5" s="11" t="s">
        <v>17</v>
      </c>
      <c r="D5" s="11" t="s">
        <v>18</v>
      </c>
      <c r="E5" s="11" t="s">
        <v>19</v>
      </c>
      <c r="F5" s="11" t="s">
        <v>20</v>
      </c>
    </row>
    <row r="6" spans="1:6">
      <c r="A6" s="15">
        <v>46023</v>
      </c>
      <c r="B6" s="16" t="s">
        <v>21</v>
      </c>
      <c r="C6" s="17"/>
      <c r="D6" s="18">
        <v>5000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22</v>
      </c>
      <c r="C7" s="17" t="s">
        <v>23</v>
      </c>
      <c r="D7" s="18"/>
      <c r="E7" s="18">
        <v>1000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22</v>
      </c>
      <c r="C8" s="17" t="s">
        <v>24</v>
      </c>
      <c r="D8" s="18"/>
      <c r="E8" s="18">
        <v>1400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22</v>
      </c>
      <c r="C9" s="17" t="s">
        <v>25</v>
      </c>
      <c r="D9" s="18"/>
      <c r="E9" s="18">
        <v>800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21</v>
      </c>
      <c r="C10" s="17"/>
      <c r="D10" s="18">
        <v>5000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22</v>
      </c>
      <c r="C11" s="17" t="s">
        <v>24</v>
      </c>
      <c r="D11" s="18"/>
      <c r="E11" s="18">
        <v>1400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22</v>
      </c>
      <c r="C12" s="17" t="s">
        <v>25</v>
      </c>
      <c r="D12" s="18"/>
      <c r="E12" s="18">
        <v>800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22</v>
      </c>
      <c r="C13" s="17" t="s">
        <v>26</v>
      </c>
      <c r="D13" s="18"/>
      <c r="E13" s="18">
        <v>1000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21</v>
      </c>
      <c r="C14" s="17"/>
      <c r="D14" s="18">
        <v>5000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22</v>
      </c>
      <c r="C15" s="17" t="s">
        <v>25</v>
      </c>
      <c r="D15" s="18"/>
      <c r="E15" s="18">
        <v>800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22</v>
      </c>
      <c r="C16" s="17" t="s">
        <v>26</v>
      </c>
      <c r="D16" s="18"/>
      <c r="E16" s="18">
        <v>1000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22</v>
      </c>
      <c r="C17" s="17" t="s">
        <v>27</v>
      </c>
      <c r="D17" s="18"/>
      <c r="E17" s="18">
        <v>1400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21</v>
      </c>
      <c r="C18" s="17"/>
      <c r="D18" s="18">
        <v>5000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22</v>
      </c>
      <c r="C19" s="17" t="s">
        <v>26</v>
      </c>
      <c r="D19" s="18"/>
      <c r="E19" s="18">
        <v>1000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22</v>
      </c>
      <c r="C20" s="17" t="s">
        <v>27</v>
      </c>
      <c r="D20" s="18"/>
      <c r="E20" s="18">
        <v>1400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22</v>
      </c>
      <c r="C21" s="17" t="s">
        <v>28</v>
      </c>
      <c r="D21" s="18"/>
      <c r="E21" s="18">
        <v>800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21</v>
      </c>
      <c r="C22" s="17"/>
      <c r="D22" s="18">
        <v>5000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22</v>
      </c>
      <c r="C23" s="17" t="s">
        <v>27</v>
      </c>
      <c r="D23" s="18"/>
      <c r="E23" s="18">
        <v>1400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22</v>
      </c>
      <c r="C24" s="17" t="s">
        <v>28</v>
      </c>
      <c r="D24" s="18"/>
      <c r="E24" s="18">
        <v>800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22</v>
      </c>
      <c r="C25" s="17" t="s">
        <v>23</v>
      </c>
      <c r="D25" s="18"/>
      <c r="E25" s="18">
        <v>1000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21</v>
      </c>
      <c r="C26" s="17"/>
      <c r="D26" s="18">
        <v>5000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22</v>
      </c>
      <c r="C27" s="17" t="s">
        <v>28</v>
      </c>
      <c r="D27" s="18"/>
      <c r="E27" s="18">
        <v>800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22</v>
      </c>
      <c r="C28" s="17" t="s">
        <v>23</v>
      </c>
      <c r="D28" s="18"/>
      <c r="E28" s="18">
        <v>1000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22</v>
      </c>
      <c r="C29" s="17" t="s">
        <v>24</v>
      </c>
      <c r="D29" s="18"/>
      <c r="E29" s="18">
        <v>1400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D4531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29</v>
      </c>
      <c r="C1" s="20"/>
      <c r="D1" s="20"/>
      <c r="E1" s="20"/>
      <c r="F1" s="20"/>
      <c r="G1" s="20"/>
      <c r="H1" s="20"/>
      <c r="I1" s="20"/>
    </row>
    <row r="4" spans="2:9">
      <c r="B4" s="11" t="s">
        <v>30</v>
      </c>
      <c r="C4" s="11" t="s">
        <v>18</v>
      </c>
      <c r="D4" s="11" t="s">
        <v>19</v>
      </c>
      <c r="E4" s="11" t="s">
        <v>31</v>
      </c>
      <c r="H4" s="11" t="s">
        <v>17</v>
      </c>
      <c r="I4" s="11" t="s">
        <v>33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28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23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24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25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26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27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4" t="s">
        <v>32</v>
      </c>
      <c r="I11" s="25">
        <f>SUM(I5:I10)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32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917D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34</v>
      </c>
      <c r="C1" s="20"/>
    </row>
    <row r="3" spans="2:3" x14ac:dyDescent="0.25">
      <c r="B3" s="11" t="s">
        <v>35</v>
      </c>
      <c r="C3" s="27" t="s">
        <v>36</v>
      </c>
    </row>
    <row r="4" spans="2:3" x14ac:dyDescent="0.25">
      <c r="B4" s="11" t="s">
        <v>37</v>
      </c>
      <c r="C4" s="14">
        <v>30000</v>
      </c>
    </row>
    <row r="6" spans="2:3" x14ac:dyDescent="0.25">
      <c r="B6" s="28" t="s">
        <v>38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39</v>
      </c>
      <c r="C7" s="30">
        <f>IF(C4=0,0,C6/C4)</f>
        <v>0</v>
      </c>
    </row>
    <row r="8" spans="2:3" x14ac:dyDescent="0.25">
      <c r="B8" s="28" t="s">
        <v>40</v>
      </c>
      <c r="C8" s="29">
        <f>MAX(0,C4-C6)</f>
        <v>0</v>
      </c>
    </row>
    <row r="9" spans="2:3" x14ac:dyDescent="0.25">
      <c r="B9" s="28" t="s">
        <v>41</v>
      </c>
      <c r="C9" s="29">
        <f>IFERROR(AVERAGEIF('월요약'!$E$5:$E$16,"&lt;&gt;0"),0)</f>
        <v>0</v>
      </c>
    </row>
    <row r="10" spans="2:3" x14ac:dyDescent="0.25">
      <c r="B10" s="28" t="s">
        <v>42</v>
      </c>
      <c r="C10" s="31">
        <f>IF(C9&lt;=0,"-",IF(C8=0,"달성!",ROUNDUP(C8/C9,0)&amp;"개월"))</f>
        <v>0</v>
      </c>
    </row>
    <row r="12" spans="2:3" x14ac:dyDescent="0.25">
      <c r="B12" s="8" t="s">
        <v>43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7D4531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7D4531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유치원·초등 저학년 용돈기입장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2026-10-19T18:19:32Z</dcterms:created>
  <dcterms:modified xsi:type="dcterms:W3CDTF">2026-10-19T18:19:32Z</dcterms:modified>
</cp:coreProperties>
</file>