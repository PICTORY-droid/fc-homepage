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<sst xmlns="http://schemas.openxmlformats.org/spreadsheetml/2006/main" count="93" uniqueCount="47">
  <si>
    <t>대학생·청년 용돈기입장</t>
  </si>
  <si>
    <t>“새해에는 더 현명한 용돈 주인이 될래요”</t>
  </si>
  <si>
    <t>새해 첫 해돋이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</si>
  <si>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</si>
  <si>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</si>
  <si>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</si>
  <si>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</si>
  <si>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</si>
  <si>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</si>
  <si>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</si>
  <si>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</si>
  <si>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</si>
  <si>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</si>
  <si>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</si>
  <si>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</si>
  <si>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</si>
  <si>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</si>
  <si>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</si>
  <si>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</si>
  <si>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</si>
  <si>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</si>
  <si>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</si>
  <si>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</si>
  <si>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</si>
  <si>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</si>
  <si>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교재·학습</t>
  </si>
  <si>
    <t>취미·여가</t>
  </si>
  <si>
    <t>모임·경조사</t>
  </si>
  <si>
    <t>통신·구독</t>
  </si>
  <si>
    <t>저금</t>
  </si>
  <si>
    <t>기타</t>
  </si>
  <si>
    <t>식비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</si>
  <si>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</si>
  <si>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</si>
  <si>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</si>
  <si>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</si>
  <si>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</si>
  <si>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</si>
  <si>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</si>
  <si>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노트북·태블릿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</si>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</sst>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884111"/>
      <name val="맑은 고딕"/>
      <family val="2"/>
    </font>
    <font>
      <i/>
      <sz val="11"/>
      <color rgb="FFE36C1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884111"/>
      <name val="맑은 고딕"/>
      <family val="2"/>
    </font>
    <font>
      <sz val="9"/>
      <color rgb="FFE36C1C"/>
      <name val="맑은 고딕"/>
      <family val="2"/>
    </font>
    <font>
      <b/>
      <sz val="18"/>
      <color rgb="FF884111"/>
      <name val="맑은 고딕"/>
      <family val="2"/>
    </font>
    <font>
      <i/>
      <sz val="10"/>
      <color rgb="FFE36C1C"/>
      <name val="맑은 고딕"/>
      <family val="2"/>
    </font>
    <font>
      <b/>
      <sz val="10"/>
      <color theme="1"/>
      <name val="맑은 고딕"/>
      <family val="2"/>
    </font>
    <font>
      <b/>
      <sz val="16"/>
      <color rgb="FF884111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E36C1C"/>
        <bgColor indexed="64"/>
      </patternFill>
    </fill>
    <fill>
      <patternFill patternType="solid">
        <fgColor rgb="FFFADBC7"/>
        <bgColor indexed="64"/>
      </patternFill>
    </fill>
    <fill>
      <patternFill patternType="solid">
        <fgColor rgb="FFFDF3ED"/>
        <bgColor indexed="64"/>
      </patternFill>
    </fill>
  </fills>
  <borders count="5">
    <border>
      <left/>
      <right/>
      <top/>
      <bottom/>
      <diagonal/>
    </border>
    <border>
      <left style="thin">
        <color rgb="FFFADBC7"/>
      </left>
      <right style="thin">
        <color rgb="FFFADBC7"/>
      </right>
      <top style="thin">
        <color rgb="FFFADBC7"/>
      </top>
      <bottom style="thin">
        <color rgb="FFFADBC7"/>
      </bottom>
      <diagonal/>
    </border>
    <border>
      <left style="thin">
        <color rgb="FF884111"/>
      </left>
      <right style="thin">
        <color rgb="FF884111"/>
      </right>
      <top style="thin">
        <color rgb="FF884111"/>
      </top>
      <bottom style="thin">
        <color rgb="FF884111"/>
      </bottom>
      <diagonal/>
    </border>
    <border>
      <left style="thin">
        <color rgb="FFE36C1C"/>
      </left>
      <right style="thin">
        <color rgb="FFE36C1C"/>
      </right>
      <top style="thin">
        <color rgb="FFE36C1C"/>
      </top>
      <bottom style="thin">
        <color rgb="FFE36C1C"/>
      </bottom>
      <diagonal/>
    </border>
    <border>
      <left/>
      <right/>
      <top style="medium">
        <color rgb="FFE36C1C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7F3C10"/>
              </a:solidFill>
            </c:spPr>
          </c:dPt>
          <c:dPt>
            <c:idx val="1"/>
            <c:spPr>
              <a:solidFill>
                <a:srgbClr val="9A6C1B"/>
              </a:solidFill>
            </c:spPr>
          </c:dPt>
          <c:dPt>
            <c:idx val="2"/>
            <c:spPr>
              <a:solidFill>
                <a:srgbClr val="C3AE18"/>
              </a:solidFill>
            </c:spPr>
          </c:dPt>
          <c:dPt>
            <c:idx val="3"/>
            <c:spPr>
              <a:solidFill>
                <a:srgbClr val="D96F27"/>
              </a:solidFill>
            </c:spPr>
          </c:dPt>
          <c:dPt>
            <c:idx val="4"/>
            <c:spPr>
              <a:solidFill>
                <a:srgbClr val="E7AB3F"/>
              </a:solidFill>
            </c:spPr>
          </c:dPt>
          <c:dPt>
            <c:idx val="5"/>
            <c:spPr>
              <a:solidFill>
                <a:srgbClr val="E5D668"/>
              </a:solidFill>
            </c:spPr>
          </c:dPt>
          <c:dPt>
            <c:idx val="6"/>
            <c:spPr>
              <a:solidFill>
                <a:srgbClr val="F0AE82"/>
              </a:solidFill>
            </c:spPr>
          </c:dPt>
          <c:dPt>
            <c:idx val="7"/>
            <c:spPr>
              <a:solidFill>
                <a:srgbClr val="F0D6A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식비</c:v>
                </c:pt>
                <c:pt idx="1">
                  <c:v>교통</c:v>
                </c:pt>
                <c:pt idx="2">
                  <c:v>교재·학습</c:v>
                </c:pt>
                <c:pt idx="3">
                  <c:v>취미·여가</c:v>
                </c:pt>
                <c:pt idx="4">
                  <c:v>모임·경조사</c:v>
                </c:pt>
                <c:pt idx="5">
                  <c:v>통신·구독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3B9188"/>
            </a:solidFill>
            <a:ln>
              <a:solidFill>
                <a:srgbClr val="3B9188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E36C1C"/>
            </a:solidFill>
            <a:ln>
              <a:solidFill>
                <a:srgbClr val="E36C1C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300000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70000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90000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50000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300000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90000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50000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70000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300000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50000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70000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90000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300000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70000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90000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50000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300000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90000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50000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70000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300000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50000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70000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31</v>
      </c>
      <c r="D29" s="18"/>
      <c r="E29" s="18">
        <v>90000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32</v>
      </c>
      <c r="C1" s="20"/>
      <c r="D1" s="20"/>
      <c r="E1" s="20"/>
      <c r="F1" s="20"/>
      <c r="G1" s="20"/>
      <c r="H1" s="20"/>
      <c r="I1" s="20"/>
    </row>
    <row r="4" spans="2:9">
      <c r="B4" s="11" t="s">
        <v>33</v>
      </c>
      <c r="C4" s="11" t="s">
        <v>19</v>
      </c>
      <c r="D4" s="11" t="s">
        <v>20</v>
      </c>
      <c r="E4" s="11" t="s">
        <v>34</v>
      </c>
      <c r="H4" s="11" t="s">
        <v>18</v>
      </c>
      <c r="I4" s="11" t="s">
        <v>36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31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30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35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35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88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37</v>
      </c>
      <c r="C1" s="20"/>
    </row>
    <row r="3" spans="2:3" x14ac:dyDescent="0.25">
      <c r="B3" s="11" t="s">
        <v>38</v>
      </c>
      <c r="C3" s="27" t="s">
        <v>39</v>
      </c>
    </row>
    <row r="4" spans="2:3" x14ac:dyDescent="0.25">
      <c r="B4" s="11" t="s">
        <v>40</v>
      </c>
      <c r="C4" s="14">
        <v>1800000</v>
      </c>
    </row>
    <row r="6" spans="2:3" x14ac:dyDescent="0.25">
      <c r="B6" s="28" t="s">
        <v>41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42</v>
      </c>
      <c r="C7" s="30">
        <f>IF(C4=0,0,C6/C4)</f>
        <v>0</v>
      </c>
    </row>
    <row r="8" spans="2:3" x14ac:dyDescent="0.25">
      <c r="B8" s="28" t="s">
        <v>43</v>
      </c>
      <c r="C8" s="29">
        <f>MAX(0,C4-C6)</f>
        <v>0</v>
      </c>
    </row>
    <row r="9" spans="2:3" x14ac:dyDescent="0.25">
      <c r="B9" s="28" t="s">
        <v>44</v>
      </c>
      <c r="C9" s="29">
        <f>IFERROR(AVERAGEIF('월요약'!$E$5:$E$16,"&lt;&gt;0"),0)</f>
        <v>0</v>
      </c>
    </row>
    <row r="10" spans="2:3" x14ac:dyDescent="0.25">
      <c r="B10" s="28" t="s">
        <v>45</v>
      </c>
      <c r="C10" s="31">
        <f>IF(C9&lt;=0,"-",IF(C8=0,"달성!",ROUNDUP(C8/C9,0)&amp;"개월"))</f>
        <v>0</v>
      </c>
    </row>
    <row r="12" spans="2:3" x14ac:dyDescent="0.25">
      <c r="B12" s="8" t="s">
        <v>46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E36C1C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E36C1C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대학생·청년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