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<sst xmlns="http://schemas.openxmlformats.org/spreadsheetml/2006/main" count="142" uniqueCount="72">
  <si>
    <t>경조사비 장부 · 장례 중심</t>
  </si>
  <si>
    <t>설날 세배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</si>
  <si>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</si>
  <si>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</si>
  <si>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</si>
  <si>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</si>
  <si>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</si>
  <si>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</si>
  <si>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</si>
  <si>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</si>
  <si>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</si>
  <si>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</si>
  <si>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</si>
  <si>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</si>
  <si>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</si>
  <si>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</si>
  <si>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</si>
  <si>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</si>
  <si>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장례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</si>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</sst>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431920"/>
      <name val="맑은 고딕"/>
      <family val="2"/>
    </font>
    <font>
      <i/>
      <sz val="11"/>
      <color rgb="FF8D344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31920"/>
      <name val="맑은 고딕"/>
      <family val="2"/>
    </font>
    <font>
      <sz val="9"/>
      <color rgb="FF8D3443"/>
      <name val="맑은 고딕"/>
      <family val="2"/>
    </font>
    <font>
      <b/>
      <sz val="18"/>
      <color rgb="FF431920"/>
      <name val="맑은 고딕"/>
      <family val="2"/>
    </font>
    <font>
      <b/>
      <sz val="16"/>
      <color rgb="FF431920"/>
      <name val="맑은 고딕"/>
      <family val="2"/>
    </font>
    <font>
      <b/>
      <sz val="10"/>
      <color theme="1"/>
      <name val="맑은 고딕"/>
      <family val="2"/>
    </font>
    <font>
      <b/>
      <sz val="14"/>
      <color rgb="FF43192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D3443"/>
        <bgColor indexed="64"/>
      </patternFill>
    </fill>
    <fill>
      <patternFill patternType="solid">
        <fgColor rgb="FFF0D1D6"/>
        <bgColor indexed="64"/>
      </patternFill>
    </fill>
    <fill>
      <patternFill patternType="solid">
        <fgColor rgb="FFF9F0F2"/>
        <bgColor indexed="64"/>
      </patternFill>
    </fill>
  </fills>
  <borders count="5">
    <border>
      <left/>
      <right/>
      <top/>
      <bottom/>
      <diagonal/>
    </border>
    <border>
      <left style="thin">
        <color rgb="FFF0D1D6"/>
      </left>
      <right style="thin">
        <color rgb="FFF0D1D6"/>
      </right>
      <top style="thin">
        <color rgb="FFF0D1D6"/>
      </top>
      <bottom style="thin">
        <color rgb="FFF0D1D6"/>
      </bottom>
      <diagonal/>
    </border>
    <border>
      <left style="thin">
        <color rgb="FF431920"/>
      </left>
      <right style="thin">
        <color rgb="FF431920"/>
      </right>
      <top style="thin">
        <color rgb="FF431920"/>
      </top>
      <bottom style="thin">
        <color rgb="FF431920"/>
      </bottom>
      <diagonal/>
    </border>
    <border>
      <left/>
      <right/>
      <top style="medium">
        <color rgb="FF8D3443"/>
      </top>
      <bottom/>
      <diagonal/>
    </border>
    <border>
      <left style="thin">
        <color rgb="FF8D3443"/>
      </left>
      <right style="thin">
        <color rgb="FF8D3443"/>
      </right>
      <top style="thin">
        <color rgb="FF8D3443"/>
      </top>
      <bottom style="thin">
        <color rgb="FF8D344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9F0F2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받은 금액</c:v>
          </c:tx>
          <c:spPr>
            <a:solidFill>
              <a:srgbClr val="8D3443"/>
            </a:solidFill>
            <a:ln w="6350">
              <a:solidFill>
                <a:srgbClr val="43192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8"/>
            </a:solidFill>
            <a:ln w="6350">
              <a:solidFill>
                <a:srgbClr val="43192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31920"/>
                </a:solidFill>
                <a:latin typeface="맑은 고딕"/>
              </a:defRPr>
            </a:pPr>
            <a:r>
              <a:rPr lang="en-US" sz="1100" baseline="0">
                <a:solidFill>
                  <a:srgbClr val="43192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682632"/>
              </a:solidFill>
            </c:spPr>
          </c:dPt>
          <c:dPt>
            <c:idx val="1"/>
            <c:spPr>
              <a:solidFill>
                <a:srgbClr val="803A35"/>
              </a:solidFill>
            </c:spPr>
          </c:dPt>
          <c:dPt>
            <c:idx val="2"/>
            <c:spPr>
              <a:solidFill>
                <a:srgbClr val="A05A3B"/>
              </a:solidFill>
            </c:spPr>
          </c:dPt>
          <c:dPt>
            <c:idx val="3"/>
            <c:spPr>
              <a:solidFill>
                <a:srgbClr val="B54C5D"/>
              </a:solidFill>
            </c:spPr>
          </c:dPt>
          <c:dPt>
            <c:idx val="4"/>
            <c:spPr>
              <a:solidFill>
                <a:srgbClr val="C56961"/>
              </a:solidFill>
            </c:spPr>
          </c:dPt>
          <c:dPt>
            <c:idx val="5"/>
            <c:spPr>
              <a:solidFill>
                <a:srgbClr val="CB9881"/>
              </a:solidFill>
            </c:spPr>
          </c:dPt>
          <c:dPt>
            <c:idx val="6"/>
            <c:spPr>
              <a:solidFill>
                <a:srgbClr val="D999A4"/>
              </a:solidFill>
            </c:spPr>
          </c:dPt>
          <c:dPt>
            <c:idx val="7"/>
            <c:spPr>
              <a:solidFill>
                <a:srgbClr val="E1BAB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0D1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2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3" spans="2:3" ht="28" customHeight="1">
      <c r="B13" s="8" t="s">
        <v>12</v>
      </c>
      <c r="C13" s="8"/>
    </row>
    <row r="15" spans="2:3">
      <c r="B15" s="9" t="s">
        <v>13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/>
      <c r="B2" s="2"/>
      <c r="C2" s="2"/>
      <c r="D2" s="2"/>
      <c r="E2" s="2"/>
      <c r="F2" s="2"/>
      <c r="G2" s="2"/>
      <c r="H2" s="2"/>
    </row>
    <row r="4" spans="1:8">
      <c r="A4" s="11" t="s">
        <v>37</v>
      </c>
      <c r="B4" s="11" t="s">
        <v>38</v>
      </c>
      <c r="C4" s="11" t="s">
        <v>15</v>
      </c>
      <c r="D4" s="11" t="s">
        <v>39</v>
      </c>
      <c r="E4" s="11" t="s">
        <v>16</v>
      </c>
      <c r="F4" s="11" t="s">
        <v>40</v>
      </c>
      <c r="G4" s="11" t="s">
        <v>17</v>
      </c>
      <c r="H4" s="11" t="s">
        <v>41</v>
      </c>
    </row>
    <row r="5" spans="1:8">
      <c r="A5" s="12">
        <v>46027</v>
      </c>
      <c r="B5" s="13" t="s">
        <v>42</v>
      </c>
      <c r="C5" s="14" t="s">
        <v>18</v>
      </c>
      <c r="D5" s="14" t="s">
        <v>43</v>
      </c>
      <c r="E5" s="13" t="s">
        <v>27</v>
      </c>
      <c r="F5" s="15">
        <v>50000</v>
      </c>
      <c r="G5" s="13" t="s">
        <v>34</v>
      </c>
      <c r="H5" s="14" t="s">
        <v>44</v>
      </c>
    </row>
    <row r="6" spans="1:8">
      <c r="A6" s="12">
        <v>46029</v>
      </c>
      <c r="B6" s="13" t="s">
        <v>45</v>
      </c>
      <c r="C6" s="14" t="s">
        <v>19</v>
      </c>
      <c r="D6" s="14" t="s">
        <v>46</v>
      </c>
      <c r="E6" s="13" t="s">
        <v>28</v>
      </c>
      <c r="F6" s="15">
        <v>100000</v>
      </c>
      <c r="G6" s="13" t="s">
        <v>35</v>
      </c>
      <c r="H6" s="14" t="s">
        <v>44</v>
      </c>
    </row>
    <row r="7" spans="1:8">
      <c r="A7" s="12">
        <v>46062</v>
      </c>
      <c r="B7" s="13" t="s">
        <v>45</v>
      </c>
      <c r="C7" s="14" t="s">
        <v>20</v>
      </c>
      <c r="D7" s="14" t="s">
        <v>47</v>
      </c>
      <c r="E7" s="13" t="s">
        <v>29</v>
      </c>
      <c r="F7" s="15">
        <v>30000</v>
      </c>
      <c r="G7" s="13" t="s">
        <v>36</v>
      </c>
      <c r="H7" s="14" t="s">
        <v>44</v>
      </c>
    </row>
    <row r="8" spans="1:8">
      <c r="A8" s="12">
        <v>46064</v>
      </c>
      <c r="B8" s="13" t="s">
        <v>42</v>
      </c>
      <c r="C8" s="14" t="s">
        <v>21</v>
      </c>
      <c r="D8" s="14" t="s">
        <v>48</v>
      </c>
      <c r="E8" s="13" t="s">
        <v>30</v>
      </c>
      <c r="F8" s="15">
        <v>70000</v>
      </c>
      <c r="G8" s="13" t="s">
        <v>34</v>
      </c>
      <c r="H8" s="14" t="s">
        <v>44</v>
      </c>
    </row>
    <row r="9" spans="1:8">
      <c r="A9" s="12">
        <v>46094</v>
      </c>
      <c r="B9" s="13" t="s">
        <v>45</v>
      </c>
      <c r="C9" s="14" t="s">
        <v>18</v>
      </c>
      <c r="D9" s="14" t="s">
        <v>49</v>
      </c>
      <c r="E9" s="13" t="s">
        <v>31</v>
      </c>
      <c r="F9" s="15">
        <v>50000</v>
      </c>
      <c r="G9" s="13" t="s">
        <v>35</v>
      </c>
      <c r="H9" s="14" t="s">
        <v>44</v>
      </c>
    </row>
    <row r="10" spans="1:8">
      <c r="A10" s="12">
        <v>46096</v>
      </c>
      <c r="B10" s="13" t="s">
        <v>45</v>
      </c>
      <c r="C10" s="14" t="s">
        <v>19</v>
      </c>
      <c r="D10" s="14" t="s">
        <v>50</v>
      </c>
      <c r="E10" s="13" t="s">
        <v>27</v>
      </c>
      <c r="F10" s="15">
        <v>100000</v>
      </c>
      <c r="G10" s="13" t="s">
        <v>36</v>
      </c>
      <c r="H10" s="14" t="s">
        <v>44</v>
      </c>
    </row>
    <row r="11" spans="1:8">
      <c r="A11" s="12">
        <v>46129</v>
      </c>
      <c r="B11" s="13" t="s">
        <v>42</v>
      </c>
      <c r="C11" s="14" t="s">
        <v>20</v>
      </c>
      <c r="D11" s="14" t="s">
        <v>51</v>
      </c>
      <c r="E11" s="13" t="s">
        <v>28</v>
      </c>
      <c r="F11" s="15">
        <v>30000</v>
      </c>
      <c r="G11" s="13" t="s">
        <v>34</v>
      </c>
      <c r="H11" s="14" t="s">
        <v>44</v>
      </c>
    </row>
    <row r="12" spans="1:8">
      <c r="A12" s="12">
        <v>46131</v>
      </c>
      <c r="B12" s="13" t="s">
        <v>45</v>
      </c>
      <c r="C12" s="14" t="s">
        <v>21</v>
      </c>
      <c r="D12" s="14" t="s">
        <v>52</v>
      </c>
      <c r="E12" s="13" t="s">
        <v>29</v>
      </c>
      <c r="F12" s="15">
        <v>70000</v>
      </c>
      <c r="G12" s="13" t="s">
        <v>35</v>
      </c>
      <c r="H12" s="14" t="s">
        <v>44</v>
      </c>
    </row>
    <row r="13" spans="1:8">
      <c r="A13" s="12">
        <v>46163</v>
      </c>
      <c r="B13" s="13" t="s">
        <v>45</v>
      </c>
      <c r="C13" s="14" t="s">
        <v>18</v>
      </c>
      <c r="D13" s="14" t="s">
        <v>53</v>
      </c>
      <c r="E13" s="13" t="s">
        <v>30</v>
      </c>
      <c r="F13" s="15">
        <v>50000</v>
      </c>
      <c r="G13" s="13" t="s">
        <v>36</v>
      </c>
      <c r="H13" s="14" t="s">
        <v>44</v>
      </c>
    </row>
    <row r="14" spans="1:8">
      <c r="A14" s="12">
        <v>46165</v>
      </c>
      <c r="B14" s="13" t="s">
        <v>42</v>
      </c>
      <c r="C14" s="14" t="s">
        <v>19</v>
      </c>
      <c r="D14" s="14" t="s">
        <v>54</v>
      </c>
      <c r="E14" s="13" t="s">
        <v>31</v>
      </c>
      <c r="F14" s="15">
        <v>100000</v>
      </c>
      <c r="G14" s="13" t="s">
        <v>34</v>
      </c>
      <c r="H14" s="14" t="s">
        <v>44</v>
      </c>
    </row>
    <row r="15" spans="1:8">
      <c r="A15" s="12">
        <v>46198</v>
      </c>
      <c r="B15" s="13" t="s">
        <v>45</v>
      </c>
      <c r="C15" s="14" t="s">
        <v>20</v>
      </c>
      <c r="D15" s="14" t="s">
        <v>55</v>
      </c>
      <c r="E15" s="13" t="s">
        <v>27</v>
      </c>
      <c r="F15" s="15">
        <v>30000</v>
      </c>
      <c r="G15" s="13" t="s">
        <v>35</v>
      </c>
      <c r="H15" s="14" t="s">
        <v>44</v>
      </c>
    </row>
    <row r="16" spans="1:8">
      <c r="A16" s="12">
        <v>46200</v>
      </c>
      <c r="B16" s="13" t="s">
        <v>45</v>
      </c>
      <c r="C16" s="14" t="s">
        <v>21</v>
      </c>
      <c r="D16" s="14" t="s">
        <v>56</v>
      </c>
      <c r="E16" s="13" t="s">
        <v>28</v>
      </c>
      <c r="F16" s="15">
        <v>70000</v>
      </c>
      <c r="G16" s="13" t="s">
        <v>36</v>
      </c>
      <c r="H16" s="14" t="s">
        <v>44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57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15</v>
      </c>
      <c r="C3" s="11" t="s">
        <v>58</v>
      </c>
      <c r="D3" s="11" t="s">
        <v>59</v>
      </c>
      <c r="E3" s="11" t="s">
        <v>60</v>
      </c>
      <c r="F3" s="11" t="s">
        <v>61</v>
      </c>
      <c r="H3" s="11" t="s">
        <v>16</v>
      </c>
      <c r="I3" s="11" t="s">
        <v>58</v>
      </c>
      <c r="J3" s="11" t="s">
        <v>59</v>
      </c>
      <c r="K3" s="11" t="s">
        <v>61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62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62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63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D344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64</v>
      </c>
      <c r="C1" s="16"/>
    </row>
    <row r="3" spans="2:3">
      <c r="B3" s="11" t="s">
        <v>65</v>
      </c>
      <c r="C3" s="25" t="s">
        <v>43</v>
      </c>
    </row>
    <row r="5" spans="2:3">
      <c r="B5" s="23" t="s">
        <v>66</v>
      </c>
      <c r="C5" s="26">
        <f>SUMIFS('장부'!$F$5:$F$504,'장부'!$D$5:$D$504,$C$3,'장부'!$B$5:$B$504,"받음")</f>
        <v>0</v>
      </c>
    </row>
    <row r="6" spans="2:3">
      <c r="B6" s="23" t="s">
        <v>67</v>
      </c>
      <c r="C6" s="26">
        <f>SUMIFS('장부'!$F$5:$F$504,'장부'!$D$5:$D$504,$C$3,'장부'!$B$5:$B$504,"드림")</f>
        <v>0</v>
      </c>
    </row>
    <row r="7" spans="2:3">
      <c r="B7" s="23" t="s">
        <v>60</v>
      </c>
      <c r="C7" s="27">
        <f>C5-C6</f>
        <v>0</v>
      </c>
    </row>
    <row r="8" spans="2:3">
      <c r="B8" s="23" t="s">
        <v>68</v>
      </c>
      <c r="C8" s="28">
        <f>COUNTIFS('장부'!$D$5:$D$504,$C$3,'장부'!$F$5:$F$504,"&gt;0")</f>
        <v>0</v>
      </c>
    </row>
    <row r="9" spans="2:3">
      <c r="B9" s="23" t="s">
        <v>69</v>
      </c>
      <c r="C9" s="12">
        <f>IF(C8=0,"",SUMPRODUCT(MAX(('장부'!$D$5:$D$504=$C$3)*'장부'!$A$5:$A$504)))</f>
        <v>0</v>
      </c>
    </row>
    <row r="10" spans="2:3">
      <c r="B10" s="23" t="s">
        <v>70</v>
      </c>
      <c r="C10" s="28">
        <f>COUNTIFS('장부'!$D$5:$D$504,$C$3,'장부'!$G$5:$G$504,"필요")</f>
        <v>0</v>
      </c>
    </row>
    <row r="12" spans="2:3">
      <c r="B12" s="8" t="s">
        <v>71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14</v>
      </c>
      <c r="C1" s="29"/>
      <c r="D1" s="29"/>
    </row>
    <row r="3" spans="2:4">
      <c r="B3" s="11" t="s">
        <v>15</v>
      </c>
      <c r="C3" s="11" t="s">
        <v>16</v>
      </c>
      <c r="D3" s="11" t="s">
        <v>17</v>
      </c>
    </row>
    <row r="4" spans="2:4">
      <c r="B4" s="30" t="s">
        <v>18</v>
      </c>
      <c r="C4" s="30" t="s">
        <v>27</v>
      </c>
      <c r="D4" s="17" t="s">
        <v>34</v>
      </c>
    </row>
    <row r="5" spans="2:4">
      <c r="B5" s="30" t="s">
        <v>19</v>
      </c>
      <c r="C5" s="30" t="s">
        <v>28</v>
      </c>
      <c r="D5" s="17" t="s">
        <v>35</v>
      </c>
    </row>
    <row r="6" spans="2:4">
      <c r="B6" s="30" t="s">
        <v>20</v>
      </c>
      <c r="C6" s="30" t="s">
        <v>29</v>
      </c>
      <c r="D6" s="17" t="s">
        <v>36</v>
      </c>
    </row>
    <row r="7" spans="2:4">
      <c r="B7" s="30" t="s">
        <v>21</v>
      </c>
      <c r="C7" s="30" t="s">
        <v>30</v>
      </c>
    </row>
    <row r="8" spans="2:4">
      <c r="B8" s="30" t="s">
        <v>22</v>
      </c>
      <c r="C8" s="30" t="s">
        <v>31</v>
      </c>
    </row>
    <row r="9" spans="2:4">
      <c r="B9" s="30" t="s">
        <v>23</v>
      </c>
      <c r="C9" s="30" t="s">
        <v>32</v>
      </c>
    </row>
    <row r="10" spans="2:4">
      <c r="B10" s="30" t="s">
        <v>24</v>
      </c>
      <c r="C10" s="30" t="s">
        <v>33</v>
      </c>
    </row>
    <row r="11" spans="2:4">
      <c r="B11" s="30" t="s">
        <v>25</v>
      </c>
      <c r="C11" s="30" t="s">
        <v>24</v>
      </c>
    </row>
    <row r="12" spans="2:4">
      <c r="B12" s="30" t="s">
        <v>26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장부(장례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2026-10-19T18:19:29Z</dcterms:created>
  <dcterms:modified xsi:type="dcterms:W3CDTF">2026-10-19T18:19:29Z</dcterms:modified>
</cp:coreProperties>
</file>